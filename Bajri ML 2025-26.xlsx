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MU\Minor Mineral\2025-26\"/>
    </mc:Choice>
  </mc:AlternateContent>
  <xr:revisionPtr revIDLastSave="0" documentId="13_ncr:1_{5668AED6-0DEC-4D28-836B-ABA0C86F89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jri 2025-26" sheetId="1" r:id="rId1"/>
  </sheets>
  <definedNames>
    <definedName name="_xlnm.Print_Titles" localSheetId="0">'Bajri 2025-26'!$2:$2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1" l="1"/>
  <c r="L82" i="1"/>
  <c r="L84" i="1" s="1"/>
  <c r="M82" i="1"/>
  <c r="M84" i="1" s="1"/>
  <c r="N82" i="1"/>
  <c r="N84" i="1" s="1"/>
  <c r="I82" i="1"/>
</calcChain>
</file>

<file path=xl/sharedStrings.xml><?xml version="1.0" encoding="utf-8"?>
<sst xmlns="http://schemas.openxmlformats.org/spreadsheetml/2006/main" count="667" uniqueCount="310">
  <si>
    <t>OFFICE NAME 
(In Eng)</t>
  </si>
  <si>
    <t>Circle Name</t>
  </si>
  <si>
    <t>S.No.</t>
  </si>
  <si>
    <t>कार्यालय का नाम जिसमें खनन प्लॉट स्थित हैं एवं प्लॉट क्रमांकः</t>
  </si>
  <si>
    <t>भूमि का प्रकार</t>
  </si>
  <si>
    <t>राजस्व ग्राम</t>
  </si>
  <si>
    <t>तहसील</t>
  </si>
  <si>
    <t>जिला</t>
  </si>
  <si>
    <t>प्लॉट का क्षेत्रफल (हैक्टेयर में)</t>
  </si>
  <si>
    <t>खनिज बजरी की अनुमत वार्षिक मात्रा</t>
  </si>
  <si>
    <t>E auction date</t>
  </si>
  <si>
    <t>बिड सिक्यूरिटी</t>
  </si>
  <si>
    <t>आरक्षित राशि (रूपयों में)</t>
  </si>
  <si>
    <t>प्राप्त बोली (रूपयों में)</t>
  </si>
  <si>
    <t>उच्चतम बोलीदाता का नाम</t>
  </si>
  <si>
    <t>AME SAWAIMADHOPUR</t>
  </si>
  <si>
    <t>SME BHARATPUR</t>
  </si>
  <si>
    <t>सहायक खनि अभियन्ता, सवाईमाधोपुर प्लॉट क्रमांक 03</t>
  </si>
  <si>
    <t>राजकीय भूमि गैर मुमकिन नदी</t>
  </si>
  <si>
    <t>टोरडा</t>
  </si>
  <si>
    <t>चौथ का बरवाड़ा</t>
  </si>
  <si>
    <t>सवाईमाधोपुर</t>
  </si>
  <si>
    <t>SHIV CHARAN 
JAT</t>
  </si>
  <si>
    <t>सहायक खनि अभियन्ता, सवाईमाधोपुर प्लॉट क्रमांक 04</t>
  </si>
  <si>
    <t>RONIT 
STONES</t>
  </si>
  <si>
    <t>AME JHALAWAR</t>
  </si>
  <si>
    <t>SME KOTA</t>
  </si>
  <si>
    <t>सहायक खनि अभियन्ता, झालावाड़ प्लॉट संख्या बीजे 03</t>
  </si>
  <si>
    <t>भिलवाड़ा, भिलवाड़ी</t>
  </si>
  <si>
    <t>झालरापाटन पचपहाड़</t>
  </si>
  <si>
    <t>झालावाड़</t>
  </si>
  <si>
    <t>Abhimanyu Mines And 
Minerals</t>
  </si>
  <si>
    <t>सहायक खनि अभियन्ता, झालावाड़ प्लॉट संख्या बीजे 04</t>
  </si>
  <si>
    <t>SACHIN</t>
  </si>
  <si>
    <t>AME BARAN</t>
  </si>
  <si>
    <t>सहायक खनि अभियन्ता, बांरा प्लॉट संख्या बीजे 02/2024</t>
  </si>
  <si>
    <t>मन्यागण, बमोरी व बानपुर</t>
  </si>
  <si>
    <t>अटरू</t>
  </si>
  <si>
    <t>बांरा</t>
  </si>
  <si>
    <t>MANOJ KUMAR 
JAIN</t>
  </si>
  <si>
    <t>सहायक खनि अभियन्ता, बांरा प्लॉट संख्या बीजे 04/2024</t>
  </si>
  <si>
    <t>मायथा, भवानीपुरा व चौथ्या</t>
  </si>
  <si>
    <t>ARAVALI CONSTRUCTION 
COMPANY</t>
  </si>
  <si>
    <t>ME BEAWAR</t>
  </si>
  <si>
    <t>SME AJMER</t>
  </si>
  <si>
    <t>खनि अभियन्ता, ब्यावर प्लॉट संख्या बीजे 10/2025</t>
  </si>
  <si>
    <t>जालिया-ाा</t>
  </si>
  <si>
    <t>बिजयनगर</t>
  </si>
  <si>
    <t>ब्यावर</t>
  </si>
  <si>
    <t>VISION WORLD 
TEXTILES</t>
  </si>
  <si>
    <t>AME TONK</t>
  </si>
  <si>
    <t>SME JAIPUR</t>
  </si>
  <si>
    <t>सहायक खनि अभियन्ता, टोंक प्लॉट क्रमांकः 37 (बजरी प्लॉट नम्बर-8)</t>
  </si>
  <si>
    <t>गैर मुमकिन नदी</t>
  </si>
  <si>
    <t>पालड़ा</t>
  </si>
  <si>
    <t>टोंक</t>
  </si>
  <si>
    <t>Balaji Natural Holdings Private 
Limited</t>
  </si>
  <si>
    <t>ME BIJOLIYA</t>
  </si>
  <si>
    <t>SME BHILWARA</t>
  </si>
  <si>
    <t>खनि अभियन्ता, बिजौलियां प्लॉट क्रमांक बीजे-14</t>
  </si>
  <si>
    <t>राजकीय बिलानाम गैर मुमकिन नदी</t>
  </si>
  <si>
    <t>बिलियां, भवानी सिंह जी का खेड़ा</t>
  </si>
  <si>
    <t>मांण्डलगढ</t>
  </si>
  <si>
    <t>भीलवाड़ा</t>
  </si>
  <si>
    <t>Gajraj Singh 
Solanki</t>
  </si>
  <si>
    <t>ME BHILWARA</t>
  </si>
  <si>
    <t>खनि अभियन्ता, भीलवाड़ा प्लॉट क्रमांक बीजे-42</t>
  </si>
  <si>
    <t>रावतखेड़ा, शक्करपुरा</t>
  </si>
  <si>
    <t>जहाजपुर</t>
  </si>
  <si>
    <t>THAR MINES AND 
MINERALS</t>
  </si>
  <si>
    <t>खनि अभियन्ता, भीलवाड़ा प्लॉट क्रमांकः बीजे-36</t>
  </si>
  <si>
    <t>भेसाकुण्डल</t>
  </si>
  <si>
    <t>हमीरगढ़</t>
  </si>
  <si>
    <t>BHERU NATH EARTH 
MOVERS</t>
  </si>
  <si>
    <t>खनि अभियन्ता, भीलवाड़ा प्लॉट क्रमांकः बीजे-37</t>
  </si>
  <si>
    <t>मोहनपुरा, भेसाकुण्डल</t>
  </si>
  <si>
    <t>ME SIROHI</t>
  </si>
  <si>
    <t>SME JODHPUR</t>
  </si>
  <si>
    <t>खनि अभियन्ता, सिरोही प्लॉट संख्या 09/2024</t>
  </si>
  <si>
    <t>गैर मुमकिन नदी,</t>
  </si>
  <si>
    <t>ओड़ा</t>
  </si>
  <si>
    <t>शिवगंज</t>
  </si>
  <si>
    <t>सिरोही</t>
  </si>
  <si>
    <t>MAHADEV ENCLAVE PRIVATE 
LIMITED</t>
  </si>
  <si>
    <t>खनि अभियन्ता, सिरोही प्लॉट संख्या 10/2024</t>
  </si>
  <si>
    <t>माडानी</t>
  </si>
  <si>
    <t>RAAS INDIA PRIVATE 
LIMITED</t>
  </si>
  <si>
    <t>ME JODHPUR</t>
  </si>
  <si>
    <t>खनि अभियन्ता, जोधपुर प्लॉट संख्या 08</t>
  </si>
  <si>
    <t>गैर मुमकिन नदी राजकीय भूमि</t>
  </si>
  <si>
    <t>बाला</t>
  </si>
  <si>
    <t>बिलाड़ा</t>
  </si>
  <si>
    <t>जोधपुर</t>
  </si>
  <si>
    <t>GR ASSOCIATE</t>
  </si>
  <si>
    <t>ME SOJAT CITY</t>
  </si>
  <si>
    <t>खनि अभियन्ता, सोजत प्लॉट संख्या 30</t>
  </si>
  <si>
    <t>नया गांव व बांता</t>
  </si>
  <si>
    <t>मारवाड़ जंक्शन</t>
  </si>
  <si>
    <t>पाली</t>
  </si>
  <si>
    <t>ABHINNA MINING PRIVATE 
LIMITED</t>
  </si>
  <si>
    <t>सहायक खनि अभियन्ता, टोंक प्लॉट नंः 61(32)</t>
  </si>
  <si>
    <t>छान, अरनिया नील, अमीरपुर खेड़ा</t>
  </si>
  <si>
    <t>Shivaay Minchem Private 
Limited/</t>
  </si>
  <si>
    <t>ME JALORE</t>
  </si>
  <si>
    <t>खनि अभियन्ता, जालोर प्लॉट संख्या 24</t>
  </si>
  <si>
    <t>राजकीय भूमि</t>
  </si>
  <si>
    <t>थावला</t>
  </si>
  <si>
    <t>आहोर</t>
  </si>
  <si>
    <t>जालोर</t>
  </si>
  <si>
    <t>खनि अभियन्ता, जोधपुर प्लॉट संख्या 20</t>
  </si>
  <si>
    <t>पीपाड़ शहर, खुड़ेचा व नानण</t>
  </si>
  <si>
    <t>पीपाड़ शहर</t>
  </si>
  <si>
    <t>SHREE OM BANNA 
CONSTRUCTION</t>
  </si>
  <si>
    <t>AME SAWAR</t>
  </si>
  <si>
    <t>सहायक खनि अभियन्ता, सावर प्लॉट संख्या 05</t>
  </si>
  <si>
    <t>देवलिया कला</t>
  </si>
  <si>
    <t>भिनाय</t>
  </si>
  <si>
    <t>अजमेर</t>
  </si>
  <si>
    <t>RASU JAIN</t>
  </si>
  <si>
    <t>खनि अभियन्ता, भीलवाड़ा प्लॉट क्रमांक बीजे-08</t>
  </si>
  <si>
    <t>गेगा का खेड़ा</t>
  </si>
  <si>
    <t>सवाईपुर</t>
  </si>
  <si>
    <t>LAKSHITA 
ENTERPRISES</t>
  </si>
  <si>
    <t>खनि अभियन्ता, भीलवाड़ा प्लॉट क्रमांक बीजे-09</t>
  </si>
  <si>
    <t>खनि अभियन्ता, भीलवाड़ा प्लॉट क्रमांक बीजे-02</t>
  </si>
  <si>
    <t>अमरतियां, गेन्दलियां, करेड़</t>
  </si>
  <si>
    <t>LIMETONE CONSTRUCTION 
PRIVATE LIMITED</t>
  </si>
  <si>
    <t>खनि अभियन्ता, भीलवाड़ा प्लॉट क्रमांकः बीजे-16</t>
  </si>
  <si>
    <t>हुरडा सेजा नगर</t>
  </si>
  <si>
    <t>हुरडा विजयनगर</t>
  </si>
  <si>
    <t>भीलवाड़ा ब्यावर</t>
  </si>
  <si>
    <t>KARMA MINES AND 
MINERALS</t>
  </si>
  <si>
    <t>खनि अभियन्ता, भीलवाड़ा प्लॉट क्रमांक बीजे-23</t>
  </si>
  <si>
    <t>केशरपुरा, भरणीकलां</t>
  </si>
  <si>
    <t>JORAWAR 
SINGH</t>
  </si>
  <si>
    <t>खनि अभियन्ता, भीलवाड़ा प्लॉट क्रमांकः बीजे-34</t>
  </si>
  <si>
    <t>जवासियां, सायला व बरड़ोद</t>
  </si>
  <si>
    <t>खनि अभियन्ता, भीलवाड़ा प्लॉट क्रमांकः बीजे-35</t>
  </si>
  <si>
    <t>बरड़ोद व खेतहजारियां</t>
  </si>
  <si>
    <t>खनि अभियन्ता, भीलवाड़ा प्लॉट क्रमांकः बीजे-38</t>
  </si>
  <si>
    <t>खेराबाद व कान्याखेड़ा</t>
  </si>
  <si>
    <t>SKE INFRASTRUCTURE PRIVATE 
LIMITED</t>
  </si>
  <si>
    <t>खनि अभियन्ता, भीलवाड़ा प्लॉट क्रमांकः बीजे-39</t>
  </si>
  <si>
    <t>MANVI INFRA &amp; LOGISTICS</t>
  </si>
  <si>
    <t>खनि अभियन्ता, भीलवाड़ा प्लॉट क्रमांकः बीजे-40</t>
  </si>
  <si>
    <t>गुवारड़ी</t>
  </si>
  <si>
    <t>SHREE DEV 
ENTERPRISES/</t>
  </si>
  <si>
    <t>खनि अभियन्ता, भीलवाड़ा प्लॉट संख्या बीजे-27</t>
  </si>
  <si>
    <t>जामोली रामगढ</t>
  </si>
  <si>
    <t>खनि अभियन्ता, भीलवाड़ा प्लॉट संख्या बीजे-28</t>
  </si>
  <si>
    <t>जामोली रावतखेड़ा</t>
  </si>
  <si>
    <t>खनि अभियन्ता, भीलवाड़ा प्लॉट संख्या बीजे-41</t>
  </si>
  <si>
    <t>रावतखेड़ा, रामपुरा</t>
  </si>
  <si>
    <t>THAR MINES AND 
MINERALS/</t>
  </si>
  <si>
    <t>खनि अभियन्ता, बिजौलियां प्लॉट क्रमांक 01</t>
  </si>
  <si>
    <t>खटवाड़ा व भारलियां</t>
  </si>
  <si>
    <t>माण्डलगढ़</t>
  </si>
  <si>
    <t>SHREE DEV
ENTERPRISES</t>
  </si>
  <si>
    <t>खनि अभियन्ता, बिजौलियां प्लॉट क्रमांक 02</t>
  </si>
  <si>
    <t>खटवाड़ा व मालीखेड़ा</t>
  </si>
  <si>
    <t>सहायक खनि अभियन्ता, टोंक प्लॉट क्रमांकः 39 (बजरी प्लॉट नम्बर-10)</t>
  </si>
  <si>
    <t>बोरदा</t>
  </si>
  <si>
    <t>RAJENDRA 
JOSHI</t>
  </si>
  <si>
    <t>सहायक खनि अभियन्ता, टोंक प्लॉट क्रमांक 02</t>
  </si>
  <si>
    <t>राजमहल</t>
  </si>
  <si>
    <t>देवली</t>
  </si>
  <si>
    <t>JORAWAR SINGH</t>
  </si>
  <si>
    <t>सहायक खनि अभियन्ता, टोंक प्लॉट क्रमांक 03</t>
  </si>
  <si>
    <t>राजमहल, नयागांव</t>
  </si>
  <si>
    <t>RASU 
JAIN</t>
  </si>
  <si>
    <t>सहायक खनि अभियन्ता, टोंक प्लॉट क्रमांक 04</t>
  </si>
  <si>
    <t>सतवाडा</t>
  </si>
  <si>
    <t>Daleep Lime Udyog</t>
  </si>
  <si>
    <t>सहायक खनि अभियन्ता, टोंक प्लॉट क्रमांकः 40 प्लॉट (बजरी प्लॉट नम्बर-11)</t>
  </si>
  <si>
    <t>अहमदपुरा</t>
  </si>
  <si>
    <t>Ratan Singh 
Shekhawat</t>
  </si>
  <si>
    <t>सहायक खनि अभियन्ता, टोंक प्लॉट क्रमांकः 41(बजरी प्लॉट नम्बर-12)</t>
  </si>
  <si>
    <t>लहन</t>
  </si>
  <si>
    <t>MARUTI MINES &amp; 
MINERAL</t>
  </si>
  <si>
    <t>सहायक खनि अभियन्ता, टोंक प्लॉट क्रमांकः 42(बजरी प्लॉट नम्बर-13)</t>
  </si>
  <si>
    <t>Rise India Stone Private 
Limited</t>
  </si>
  <si>
    <t>सहायक खनि अभियन्ता, टोंक प्लॉट क्रमांकः 43 (बजरी प्लॉट नम्बर-14)</t>
  </si>
  <si>
    <t>PRAKRATI EXCAVATING PRIVATE 
LIMITED</t>
  </si>
  <si>
    <t>सहायक खनि अभियन्ता, टोंक प्लॉट क्रमांकः 30 (बजरी प्लॉट नम्बर-1)</t>
  </si>
  <si>
    <t>Gajraj Singh 
Solank</t>
  </si>
  <si>
    <t>सहायक खनि अभियन्ता, टोंक प्लॉट क्रमांक बीजे - 50 (बजरी प्लॉट संख्या - 26)</t>
  </si>
  <si>
    <t>जलसीना</t>
  </si>
  <si>
    <t>दूनी</t>
  </si>
  <si>
    <t>GOQUEST SOLUTION PRIVATE 
LIMITED</t>
  </si>
  <si>
    <t>सहायक खनि अभियन्ता, टोंक प्लॉट क्रमांक बीजे - 52 (बजरी प्लॉट संख्या - 28)</t>
  </si>
  <si>
    <t>नोंदपुरा</t>
  </si>
  <si>
    <t>सहायक खनि अभियन्ता, टोंक प्लॉट क्रमांक बीजे - 53 (बजरी प्लॉट संख्या - 29)</t>
  </si>
  <si>
    <t>सहायक खनि अभियन्ता, टोंक प्लॉट क्रमांक बीजे - 54 (बजरी प्लॉट संख्या - 30)</t>
  </si>
  <si>
    <t>आमली</t>
  </si>
  <si>
    <t>सहायक खनि अभियन्ता, टोंक प्लॉट नंः 58(18)</t>
  </si>
  <si>
    <t>मूड़िया</t>
  </si>
  <si>
    <t>पीपलू</t>
  </si>
  <si>
    <t>सहायक खनि अभियन्ता, टोंक प्लॉट नंः 59(19)</t>
  </si>
  <si>
    <t>मारखेड़ा</t>
  </si>
  <si>
    <t>सहायक खनि अभियन्ता, टोंक प्लॉट क्रमांक बीजे - 44 (बजरी प्लॉट संख्या - 20)</t>
  </si>
  <si>
    <t>बंथली, विजयगढ़</t>
  </si>
  <si>
    <t>DIGVIJAY SINGH 
SHAKTAWAT</t>
  </si>
  <si>
    <t>सहायक खनि अभियन्ता, टोंक प्लॉट क्रमांक बीजे - 45 (बजरी प्लॉट संख्या - 21)</t>
  </si>
  <si>
    <t>बंथली</t>
  </si>
  <si>
    <t>Rohit Trading 
Company</t>
  </si>
  <si>
    <t>सहायक खनि अभियन्ता, टोंक प्लॉट क्रमांक बीजे - 46 (बजरी प्लॉट संख्या - 22)</t>
  </si>
  <si>
    <t>Rohit Trading 
Company/</t>
  </si>
  <si>
    <t>सहायक खनि अभियन्ता, टोंक प्लॉट क्रमांक बीजे - 48 (बजरी प्लॉट संख्या - 24)</t>
  </si>
  <si>
    <t>SHREE KAMAKSHI 
TRANSPORT</t>
  </si>
  <si>
    <t>सहायक खनि अभियन्ता, टोंक प्लॉट नंः 55(15)</t>
  </si>
  <si>
    <t>वशीपूरा, लाक</t>
  </si>
  <si>
    <t>KULDEEP TRADING 
COMPANY</t>
  </si>
  <si>
    <t>सहायक खनि अभियन्ता, टोंक प्लॉट नंः 56(16)</t>
  </si>
  <si>
    <t>डोडवाड़ी</t>
  </si>
  <si>
    <t>ME BARMER</t>
  </si>
  <si>
    <t>खनि अभियन्ता, बाड़मेर प्लॉट संख्या 263</t>
  </si>
  <si>
    <t>खुडाला</t>
  </si>
  <si>
    <t>गुड़ामलानी</t>
  </si>
  <si>
    <t>बाड़मेर</t>
  </si>
  <si>
    <t>GUNJAN 
ENTERPRISES</t>
  </si>
  <si>
    <t>खनि अभियन्ता, बाड़मेर प्लॉट संख्या 264</t>
  </si>
  <si>
    <t>MUNDHSAR CONSTRUCTION 
COMPANY</t>
  </si>
  <si>
    <t>खनि अभियन्ता, भीलवाड़ा प्लॉट संख्या 43</t>
  </si>
  <si>
    <t>बागोर</t>
  </si>
  <si>
    <t>माण्डल</t>
  </si>
  <si>
    <t>MUKESH 
GURJAR</t>
  </si>
  <si>
    <t>खनि अभियन्ता, भीलवाड़ा प्लॉट संख्या 44</t>
  </si>
  <si>
    <t>खनि अभियन्ता, भीलवाड़ा प्लॉट संख्या 47</t>
  </si>
  <si>
    <t>बावलास</t>
  </si>
  <si>
    <t>खनि अभियन्ता, सिरोही प्लॉट क्रमांक 01
(अधिसूचित अनुसूचित क्षेत्र)
(डोमीसाईल हेतु रिर्जव)</t>
  </si>
  <si>
    <t>वासड़ा</t>
  </si>
  <si>
    <t>आबूरोड़</t>
  </si>
  <si>
    <t>ABURAJ ADIVASI CHETRA 
VIKASH SAMITI SIROHI</t>
  </si>
  <si>
    <t>खनि अभियन्ता, सिरोही प्लॉट क्रमांक 04
(अधिसूचित अनुसूचित क्षेत्र)
(डोमीसाईल हेतु रिर्जव)</t>
  </si>
  <si>
    <t>सांतपुर, रेवड़ाकला चन्द्रांवती</t>
  </si>
  <si>
    <t>खनि अभियन्ता, सिरोही
प्लॉट क्रमांक 05
(अधिसूचित अनुसूचित क्षेत्र)
(डोमीसाईल हेतु रिर्जव)</t>
  </si>
  <si>
    <t>सांतपुर, क्यारिया, गुणका, दुनाकाकर</t>
  </si>
  <si>
    <t>खनि अभियन्ता, सिरोही
प्लॉट क्रमांक 06
(अधिसूचित अनुसूचित क्षेत्र)
(डोमीसाईल हेतु रिर्जव)</t>
  </si>
  <si>
    <t>पाडुंरी, मोरथला</t>
  </si>
  <si>
    <t>देलदर, आबूरोड़</t>
  </si>
  <si>
    <t>AADIVASI VIKAS SEVA SAMITI 
SIROHI</t>
  </si>
  <si>
    <t>खनि अभियन्ता, सिरोही
प्लॉट क्रमांक 07
(अधिसूचित अनुसूचित क्षेत्र)
(डोमीसाईल हेतु रिर्जव)</t>
  </si>
  <si>
    <t>किवरली, पांडूरी</t>
  </si>
  <si>
    <t>देलदर</t>
  </si>
  <si>
    <t>AADIWASI BACHAT AND 
SAKH SAHKARI SAMITI 
LIMITED ABUROAD</t>
  </si>
  <si>
    <t>खनि अभियन्ता, सिरोही
प्लॉट क्रमांक 08
(अधिसूचित अनुसूचित क्षेत्र)
(डोमीसाईल हेतु रिर्जव)</t>
  </si>
  <si>
    <t>किवरली, आमथला</t>
  </si>
  <si>
    <t>GARASIYA SAMAJ 
VIKAS SEVA SAMITI</t>
  </si>
  <si>
    <t>खनि अभियन्ता, जोधपुर 
प्‍लॉट क्रमांक BJRJD-26</t>
  </si>
  <si>
    <t>गैर मुमकिन नदी (जोधपुर विकास प्राधिकरण, जोधपुर के नाम दर्ज भूमि)</t>
  </si>
  <si>
    <t>बिसावास व कृष्णाखेड़ा</t>
  </si>
  <si>
    <t>लूणी</t>
  </si>
  <si>
    <t>JP Enterprises/616908</t>
  </si>
  <si>
    <t>खनि अभियन्ता, जोधपुर 
प्‍लॉट क्रमांक BJRJD-27</t>
  </si>
  <si>
    <t>कृष्णाखेड़ा</t>
  </si>
  <si>
    <t>SHRI AAINATH TRAVELS/616181</t>
  </si>
  <si>
    <t>खनि अभियन्ता, जोधपुर 
प्‍लॉट क्रमांक BJRJD-28</t>
  </si>
  <si>
    <t>SIDHU ENTERPRISES/616666</t>
  </si>
  <si>
    <t>खनि अभियन्ता, जोधपुर 
प्‍लॉट क्रमांक BJRJD-29</t>
  </si>
  <si>
    <t>M/S GODARA 
CONSTRUCTION/616913</t>
  </si>
  <si>
    <t>ME RAMGANJMANDI</t>
  </si>
  <si>
    <t>खनि अभियन्ता, रामगंजमण्डी 
प्‍लॉट क्रमांक BJ-01/2025</t>
  </si>
  <si>
    <t>कुदैत व कलमण्डी</t>
  </si>
  <si>
    <t>सांगोद व कनवास</t>
  </si>
  <si>
    <t>कोटा</t>
  </si>
  <si>
    <t>AMBROSIA REALTY/616750</t>
  </si>
  <si>
    <t>खनि अभियन्ता, सोजत सिटी 
प्‍लॉट क्रमांक BJ-55/2025</t>
  </si>
  <si>
    <t>गैर-मुमकिन नदी राजकीय भूमि</t>
  </si>
  <si>
    <t>गुड़ारामसिंह</t>
  </si>
  <si>
    <t>M/S PALAK 
ENTERPRISES/616571</t>
  </si>
  <si>
    <t>खनि अभियन्ता, सोजत सिटी 
प्‍लॉट क्रमांक BJ-57/2025</t>
  </si>
  <si>
    <t>कादू व आऊवा</t>
  </si>
  <si>
    <t>VINAYAK SUPPLIERS/527874</t>
  </si>
  <si>
    <t>खनि अभियन्ता, सोजत सिटी 
प्‍लॉट क्रमांक BJ-58/2025</t>
  </si>
  <si>
    <t>आउवा व आसन घांचियान</t>
  </si>
  <si>
    <t>PRAKASH RAYCHAND 
BISHNOI/523899</t>
  </si>
  <si>
    <t>खनि अभियन्ता, सोजत सिटी 
प्‍लॉट क्रमांक BJ-60/2025</t>
  </si>
  <si>
    <t>गादाना, आंगदोष, चेलावास, भगवानपुरा व खारचों की ढाणीं</t>
  </si>
  <si>
    <t>THANARAM/490168</t>
  </si>
  <si>
    <t>खनि अभियन्ता, सोजत सिटी 
प्‍लॉट क्रमांक BJ-27/2025</t>
  </si>
  <si>
    <t>गै.मु. नदी (राजकीय भूमि)</t>
  </si>
  <si>
    <t>बिठुड़ा खुर्द व बाडसा</t>
  </si>
  <si>
    <t>मारवाड़ जंक्शन</t>
  </si>
  <si>
    <t>M K K ENTERPRISES/616739</t>
  </si>
  <si>
    <t>AME GOTAN</t>
  </si>
  <si>
    <t>सहायक खनि अभियन्ता, गोटन 
प्‍लॉट क्रमांक 13</t>
  </si>
  <si>
    <t>राजकीय / गै.मु. नदी</t>
  </si>
  <si>
    <t>देवरिया जाटान</t>
  </si>
  <si>
    <t>रियाबडी</t>
  </si>
  <si>
    <t>नागौर</t>
  </si>
  <si>
    <t>DINESH CHOUDHARY/617288</t>
  </si>
  <si>
    <t>सहायक खनि अभियन्ता, गोटन 
प्‍लॉट क्रमांक 15</t>
  </si>
  <si>
    <t>रोहिसा</t>
  </si>
  <si>
    <t>List of Bajri ML (2025-26)</t>
  </si>
  <si>
    <t>Cr.</t>
  </si>
  <si>
    <t>Category</t>
  </si>
  <si>
    <t>LoI</t>
  </si>
  <si>
    <t>Mine plan approval</t>
  </si>
  <si>
    <t>ToR application date</t>
  </si>
  <si>
    <t>Parivesh proposal no.</t>
  </si>
  <si>
    <t>ToR Grant Date</t>
  </si>
  <si>
    <t>Remarks</t>
  </si>
  <si>
    <t>Date of Public Hearing</t>
  </si>
  <si>
    <t>EC application Date</t>
  </si>
  <si>
    <t>EC Grant Date</t>
  </si>
  <si>
    <t>Status</t>
  </si>
  <si>
    <t>B1</t>
  </si>
  <si>
    <t>SIA/RJ/MIN/553931/2025</t>
  </si>
  <si>
    <t>ToR Granted</t>
  </si>
  <si>
    <t>Mine plan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</si>
</sst>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1" xfId="0" applyFont="1" applyBorder="1"/>
    <xf numFmtId="0" fontId="8" fillId="0" borderId="0" xfId="1"/>
    <xf numFmtId="0" fontId="6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rivesh.nic.in/newupgra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85"/>
  <sheetViews>
    <sheetView tabSelected="1" workbookViewId="0">
      <pane xSplit="9" ySplit="2" topLeftCell="P3" activePane="bottomRight" state="frozen"/>
      <selection pane="topRight" activeCell="J1" sqref="J1"/>
      <selection pane="bottomLeft" activeCell="A3" sqref="A3"/>
      <selection pane="bottomRight" activeCell="S4" sqref="S4"/>
    </sheetView>
  </sheetViews>
  <sheetFormatPr defaultColWidth="9.1796875" defaultRowHeight="13" x14ac:dyDescent="0.3"/>
  <cols>
    <col min="1" max="1" width="12" style="1" bestFit="1" customWidth="1"/>
    <col min="2" max="2" width="16.7265625" style="1" bestFit="1" customWidth="1"/>
    <col min="3" max="3" width="5.26953125" style="1" bestFit="1" customWidth="1"/>
    <col min="4" max="4" width="25.81640625" style="1" bestFit="1" customWidth="1"/>
    <col min="5" max="5" width="15" style="1" bestFit="1" customWidth="1"/>
    <col min="6" max="6" width="18.1796875" style="1" customWidth="1"/>
    <col min="7" max="7" width="10.81640625" style="1" bestFit="1" customWidth="1"/>
    <col min="8" max="8" width="11" style="1" bestFit="1" customWidth="1"/>
    <col min="9" max="9" width="10" style="1" bestFit="1" customWidth="1"/>
    <col min="10" max="10" width="12" style="1" bestFit="1" customWidth="1"/>
    <col min="11" max="11" width="12.453125" style="1" bestFit="1" customWidth="1"/>
    <col min="12" max="13" width="10" style="1" bestFit="1" customWidth="1"/>
    <col min="14" max="14" width="11" style="1" bestFit="1" customWidth="1"/>
    <col min="15" max="15" width="21" style="1" customWidth="1"/>
    <col min="16" max="20" width="9.1796875" style="1"/>
    <col min="21" max="21" width="17.1796875" style="1" customWidth="1"/>
    <col min="22" max="22" width="9.1796875" style="1"/>
    <col min="23" max="23" width="14.453125" style="1" customWidth="1"/>
    <col min="24" max="16384" width="9.1796875" style="1"/>
  </cols>
  <sheetData>
    <row r="1" spans="1:28" ht="15" x14ac:dyDescent="0.3">
      <c r="A1" s="8" t="s">
        <v>293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28" ht="39" x14ac:dyDescent="0.3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4" t="s">
        <v>295</v>
      </c>
      <c r="Q2" s="14" t="s">
        <v>296</v>
      </c>
      <c r="R2" s="14" t="s">
        <v>309</v>
      </c>
      <c r="S2" s="14" t="s">
        <v>297</v>
      </c>
      <c r="T2" s="14" t="s">
        <v>298</v>
      </c>
      <c r="U2" s="14" t="s">
        <v>299</v>
      </c>
      <c r="V2" s="14" t="s">
        <v>300</v>
      </c>
      <c r="W2" s="14" t="s">
        <v>301</v>
      </c>
      <c r="X2" s="14" t="s">
        <v>302</v>
      </c>
      <c r="Y2" s="14" t="s">
        <v>303</v>
      </c>
      <c r="Z2" s="14" t="s">
        <v>299</v>
      </c>
      <c r="AA2" s="14" t="s">
        <v>304</v>
      </c>
      <c r="AB2" s="14" t="s">
        <v>305</v>
      </c>
    </row>
    <row r="3" spans="1:28" ht="26" x14ac:dyDescent="0.35">
      <c r="A3" s="3" t="s">
        <v>16</v>
      </c>
      <c r="B3" s="3" t="s">
        <v>15</v>
      </c>
      <c r="C3" s="3">
        <v>1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>
        <v>36.049999999999997</v>
      </c>
      <c r="J3" s="3">
        <v>198725.625</v>
      </c>
      <c r="K3" s="4">
        <v>45769</v>
      </c>
      <c r="L3" s="3">
        <v>4000000</v>
      </c>
      <c r="M3" s="3">
        <v>1442000</v>
      </c>
      <c r="N3" s="3">
        <v>27597000</v>
      </c>
      <c r="O3" s="3" t="s">
        <v>22</v>
      </c>
      <c r="P3" s="11" t="s">
        <v>306</v>
      </c>
      <c r="Q3" s="13">
        <v>45792</v>
      </c>
      <c r="R3" s="13">
        <v>45867</v>
      </c>
      <c r="S3" s="13">
        <v>45883</v>
      </c>
      <c r="T3" s="13">
        <v>45933</v>
      </c>
      <c r="U3" s="10" t="s">
        <v>307</v>
      </c>
      <c r="V3" s="13">
        <v>45937</v>
      </c>
      <c r="W3" s="12" t="s">
        <v>308</v>
      </c>
      <c r="X3" s="12"/>
      <c r="Y3" s="12"/>
      <c r="Z3" s="12"/>
      <c r="AA3" s="12"/>
      <c r="AB3" s="12"/>
    </row>
    <row r="4" spans="1:28" ht="26" x14ac:dyDescent="0.3">
      <c r="A4" s="3" t="s">
        <v>16</v>
      </c>
      <c r="B4" s="3" t="s">
        <v>15</v>
      </c>
      <c r="C4" s="3">
        <v>2</v>
      </c>
      <c r="D4" s="3" t="s">
        <v>23</v>
      </c>
      <c r="E4" s="3" t="s">
        <v>18</v>
      </c>
      <c r="F4" s="3" t="s">
        <v>19</v>
      </c>
      <c r="G4" s="3" t="s">
        <v>20</v>
      </c>
      <c r="H4" s="3" t="s">
        <v>21</v>
      </c>
      <c r="I4" s="3">
        <v>48.2</v>
      </c>
      <c r="J4" s="3">
        <v>265702.5</v>
      </c>
      <c r="K4" s="4">
        <v>45769</v>
      </c>
      <c r="L4" s="3">
        <v>4000000</v>
      </c>
      <c r="M4" s="3">
        <v>1928000</v>
      </c>
      <c r="N4" s="3">
        <v>57123000</v>
      </c>
      <c r="O4" s="3" t="s">
        <v>24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26" x14ac:dyDescent="0.3">
      <c r="A5" s="3" t="s">
        <v>26</v>
      </c>
      <c r="B5" s="3" t="s">
        <v>25</v>
      </c>
      <c r="C5" s="3">
        <v>3</v>
      </c>
      <c r="D5" s="3" t="s">
        <v>27</v>
      </c>
      <c r="E5" s="3" t="s">
        <v>18</v>
      </c>
      <c r="F5" s="3" t="s">
        <v>28</v>
      </c>
      <c r="G5" s="3" t="s">
        <v>29</v>
      </c>
      <c r="H5" s="3" t="s">
        <v>30</v>
      </c>
      <c r="I5" s="3">
        <v>37.398099999999999</v>
      </c>
      <c r="J5" s="3">
        <v>807798.96</v>
      </c>
      <c r="K5" s="4">
        <v>45769</v>
      </c>
      <c r="L5" s="3">
        <v>4000000</v>
      </c>
      <c r="M5" s="3">
        <v>1495960</v>
      </c>
      <c r="N5" s="3">
        <v>9080960</v>
      </c>
      <c r="O5" s="3" t="s">
        <v>31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26" x14ac:dyDescent="0.3">
      <c r="A6" s="3" t="s">
        <v>26</v>
      </c>
      <c r="B6" s="3" t="s">
        <v>25</v>
      </c>
      <c r="C6" s="3">
        <v>4</v>
      </c>
      <c r="D6" s="3" t="s">
        <v>32</v>
      </c>
      <c r="E6" s="3" t="s">
        <v>18</v>
      </c>
      <c r="F6" s="3" t="s">
        <v>28</v>
      </c>
      <c r="G6" s="3" t="s">
        <v>29</v>
      </c>
      <c r="H6" s="3" t="s">
        <v>30</v>
      </c>
      <c r="I6" s="3">
        <v>28.754899999999999</v>
      </c>
      <c r="J6" s="3">
        <v>621105.84</v>
      </c>
      <c r="K6" s="4">
        <v>45769</v>
      </c>
      <c r="L6" s="3">
        <v>4000000</v>
      </c>
      <c r="M6" s="3">
        <v>1150200</v>
      </c>
      <c r="N6" s="3">
        <v>22525200</v>
      </c>
      <c r="O6" s="3" t="s">
        <v>33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26" x14ac:dyDescent="0.3">
      <c r="A7" s="3" t="s">
        <v>26</v>
      </c>
      <c r="B7" s="3" t="s">
        <v>34</v>
      </c>
      <c r="C7" s="3">
        <v>5</v>
      </c>
      <c r="D7" s="3" t="s">
        <v>35</v>
      </c>
      <c r="E7" s="3" t="s">
        <v>18</v>
      </c>
      <c r="F7" s="3" t="s">
        <v>36</v>
      </c>
      <c r="G7" s="3" t="s">
        <v>37</v>
      </c>
      <c r="H7" s="3" t="s">
        <v>38</v>
      </c>
      <c r="I7" s="3">
        <v>44.726999999999997</v>
      </c>
      <c r="J7" s="3">
        <v>483051.6</v>
      </c>
      <c r="K7" s="4">
        <v>45770</v>
      </c>
      <c r="L7" s="3">
        <v>4000000</v>
      </c>
      <c r="M7" s="3">
        <v>1789080</v>
      </c>
      <c r="N7" s="3">
        <v>15879080</v>
      </c>
      <c r="O7" s="3" t="s">
        <v>39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39" x14ac:dyDescent="0.3">
      <c r="A8" s="3" t="s">
        <v>26</v>
      </c>
      <c r="B8" s="3" t="s">
        <v>34</v>
      </c>
      <c r="C8" s="3">
        <v>6</v>
      </c>
      <c r="D8" s="3" t="s">
        <v>40</v>
      </c>
      <c r="E8" s="3" t="s">
        <v>18</v>
      </c>
      <c r="F8" s="3" t="s">
        <v>41</v>
      </c>
      <c r="G8" s="3" t="s">
        <v>37</v>
      </c>
      <c r="H8" s="3" t="s">
        <v>38</v>
      </c>
      <c r="I8" s="3">
        <v>22.190899999999999</v>
      </c>
      <c r="J8" s="3">
        <v>359492.58</v>
      </c>
      <c r="K8" s="4">
        <v>45770</v>
      </c>
      <c r="L8" s="3">
        <v>4000000</v>
      </c>
      <c r="M8" s="3">
        <v>887640</v>
      </c>
      <c r="N8" s="3">
        <v>11837640</v>
      </c>
      <c r="O8" s="3" t="s">
        <v>42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26" x14ac:dyDescent="0.3">
      <c r="A9" s="3" t="s">
        <v>44</v>
      </c>
      <c r="B9" s="3" t="s">
        <v>43</v>
      </c>
      <c r="C9" s="3">
        <v>7</v>
      </c>
      <c r="D9" s="3" t="s">
        <v>45</v>
      </c>
      <c r="E9" s="3" t="s">
        <v>18</v>
      </c>
      <c r="F9" s="3" t="s">
        <v>46</v>
      </c>
      <c r="G9" s="3" t="s">
        <v>47</v>
      </c>
      <c r="H9" s="3" t="s">
        <v>48</v>
      </c>
      <c r="I9" s="3">
        <v>89.152500000000003</v>
      </c>
      <c r="J9" s="3">
        <v>481423.6</v>
      </c>
      <c r="K9" s="4">
        <v>45770</v>
      </c>
      <c r="L9" s="3">
        <v>4000000</v>
      </c>
      <c r="M9" s="3">
        <v>3566120</v>
      </c>
      <c r="N9" s="3">
        <v>156001120</v>
      </c>
      <c r="O9" s="3" t="s">
        <v>49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39" x14ac:dyDescent="0.3">
      <c r="A10" s="3" t="s">
        <v>51</v>
      </c>
      <c r="B10" s="3" t="s">
        <v>50</v>
      </c>
      <c r="C10" s="3">
        <v>8</v>
      </c>
      <c r="D10" s="3" t="s">
        <v>52</v>
      </c>
      <c r="E10" s="3" t="s">
        <v>53</v>
      </c>
      <c r="F10" s="3" t="s">
        <v>54</v>
      </c>
      <c r="G10" s="3" t="s">
        <v>55</v>
      </c>
      <c r="H10" s="3" t="s">
        <v>55</v>
      </c>
      <c r="I10" s="3">
        <v>62.64</v>
      </c>
      <c r="J10" s="3">
        <v>2255040</v>
      </c>
      <c r="K10" s="4">
        <v>45770</v>
      </c>
      <c r="L10" s="3">
        <v>4000000</v>
      </c>
      <c r="M10" s="3">
        <v>2505600</v>
      </c>
      <c r="N10" s="3">
        <v>299995600</v>
      </c>
      <c r="O10" s="3" t="s">
        <v>56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26" x14ac:dyDescent="0.3">
      <c r="A11" s="3" t="s">
        <v>58</v>
      </c>
      <c r="B11" s="3" t="s">
        <v>57</v>
      </c>
      <c r="C11" s="3">
        <v>9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  <c r="I11" s="3">
        <v>17.2423</v>
      </c>
      <c r="J11" s="3">
        <v>279325</v>
      </c>
      <c r="K11" s="4">
        <v>45771</v>
      </c>
      <c r="L11" s="3">
        <v>4000000</v>
      </c>
      <c r="M11" s="3">
        <v>689720</v>
      </c>
      <c r="N11" s="3">
        <v>41014720</v>
      </c>
      <c r="O11" s="3" t="s">
        <v>64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26" x14ac:dyDescent="0.3">
      <c r="A12" s="3" t="s">
        <v>58</v>
      </c>
      <c r="B12" s="3" t="s">
        <v>65</v>
      </c>
      <c r="C12" s="3">
        <v>10</v>
      </c>
      <c r="D12" s="3" t="s">
        <v>66</v>
      </c>
      <c r="E12" s="3" t="s">
        <v>53</v>
      </c>
      <c r="F12" s="3" t="s">
        <v>67</v>
      </c>
      <c r="G12" s="3" t="s">
        <v>68</v>
      </c>
      <c r="H12" s="3" t="s">
        <v>63</v>
      </c>
      <c r="I12" s="3">
        <v>89.123599999999996</v>
      </c>
      <c r="J12" s="3">
        <v>962534</v>
      </c>
      <c r="K12" s="4">
        <v>45771</v>
      </c>
      <c r="L12" s="3">
        <v>4000000</v>
      </c>
      <c r="M12" s="3">
        <v>3564960</v>
      </c>
      <c r="N12" s="3">
        <v>70019960</v>
      </c>
      <c r="O12" s="3" t="s">
        <v>69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26" x14ac:dyDescent="0.3">
      <c r="A13" s="3" t="s">
        <v>58</v>
      </c>
      <c r="B13" s="3" t="s">
        <v>65</v>
      </c>
      <c r="C13" s="3">
        <v>11</v>
      </c>
      <c r="D13" s="3" t="s">
        <v>70</v>
      </c>
      <c r="E13" s="3" t="s">
        <v>53</v>
      </c>
      <c r="F13" s="3" t="s">
        <v>71</v>
      </c>
      <c r="G13" s="3" t="s">
        <v>72</v>
      </c>
      <c r="H13" s="3" t="s">
        <v>63</v>
      </c>
      <c r="I13" s="3">
        <v>52.9863</v>
      </c>
      <c r="J13" s="3">
        <v>572251</v>
      </c>
      <c r="K13" s="4">
        <v>45771</v>
      </c>
      <c r="L13" s="3">
        <v>4000000</v>
      </c>
      <c r="M13" s="3">
        <v>2119480</v>
      </c>
      <c r="N13" s="3">
        <v>38194480</v>
      </c>
      <c r="O13" s="3" t="s">
        <v>73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26" x14ac:dyDescent="0.3">
      <c r="A14" s="3" t="s">
        <v>58</v>
      </c>
      <c r="B14" s="3" t="s">
        <v>65</v>
      </c>
      <c r="C14" s="3">
        <v>12</v>
      </c>
      <c r="D14" s="3" t="s">
        <v>74</v>
      </c>
      <c r="E14" s="3" t="s">
        <v>53</v>
      </c>
      <c r="F14" s="3" t="s">
        <v>75</v>
      </c>
      <c r="G14" s="3" t="s">
        <v>72</v>
      </c>
      <c r="H14" s="3" t="s">
        <v>63</v>
      </c>
      <c r="I14" s="3">
        <v>76.41</v>
      </c>
      <c r="J14" s="3">
        <v>825228</v>
      </c>
      <c r="K14" s="4">
        <v>45771</v>
      </c>
      <c r="L14" s="3">
        <v>4000000</v>
      </c>
      <c r="M14" s="3">
        <v>3056400</v>
      </c>
      <c r="N14" s="3">
        <v>25796400</v>
      </c>
      <c r="O14" s="3" t="s">
        <v>73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39" x14ac:dyDescent="0.3">
      <c r="A15" s="3" t="s">
        <v>77</v>
      </c>
      <c r="B15" s="3" t="s">
        <v>76</v>
      </c>
      <c r="C15" s="3">
        <v>13</v>
      </c>
      <c r="D15" s="3" t="s">
        <v>78</v>
      </c>
      <c r="E15" s="3" t="s">
        <v>79</v>
      </c>
      <c r="F15" s="3" t="s">
        <v>80</v>
      </c>
      <c r="G15" s="3" t="s">
        <v>81</v>
      </c>
      <c r="H15" s="3" t="s">
        <v>82</v>
      </c>
      <c r="I15" s="3">
        <v>50.506500000000003</v>
      </c>
      <c r="J15" s="3">
        <v>170459.44</v>
      </c>
      <c r="K15" s="4">
        <v>45772</v>
      </c>
      <c r="L15" s="3">
        <v>4000000</v>
      </c>
      <c r="M15" s="3">
        <v>2020280</v>
      </c>
      <c r="N15" s="3">
        <v>2065280</v>
      </c>
      <c r="O15" s="3" t="s">
        <v>83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26" x14ac:dyDescent="0.3">
      <c r="A16" s="3" t="s">
        <v>77</v>
      </c>
      <c r="B16" s="3" t="s">
        <v>76</v>
      </c>
      <c r="C16" s="3">
        <v>14</v>
      </c>
      <c r="D16" s="3" t="s">
        <v>84</v>
      </c>
      <c r="E16" s="3" t="s">
        <v>79</v>
      </c>
      <c r="F16" s="3" t="s">
        <v>85</v>
      </c>
      <c r="G16" s="3" t="s">
        <v>81</v>
      </c>
      <c r="H16" s="3" t="s">
        <v>82</v>
      </c>
      <c r="I16" s="3">
        <v>32.204799999999999</v>
      </c>
      <c r="J16" s="3">
        <v>108691.2</v>
      </c>
      <c r="K16" s="4">
        <v>45772</v>
      </c>
      <c r="L16" s="3">
        <v>4000000</v>
      </c>
      <c r="M16" s="3">
        <v>1288200</v>
      </c>
      <c r="N16" s="3">
        <v>2573200</v>
      </c>
      <c r="O16" s="3" t="s">
        <v>86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26" x14ac:dyDescent="0.3">
      <c r="A17" s="3" t="s">
        <v>77</v>
      </c>
      <c r="B17" s="3" t="s">
        <v>87</v>
      </c>
      <c r="C17" s="3">
        <v>15</v>
      </c>
      <c r="D17" s="3" t="s">
        <v>88</v>
      </c>
      <c r="E17" s="3" t="s">
        <v>89</v>
      </c>
      <c r="F17" s="3" t="s">
        <v>90</v>
      </c>
      <c r="G17" s="3" t="s">
        <v>91</v>
      </c>
      <c r="H17" s="3" t="s">
        <v>92</v>
      </c>
      <c r="I17" s="3">
        <v>93.7624</v>
      </c>
      <c r="J17" s="3">
        <v>75948</v>
      </c>
      <c r="K17" s="4">
        <v>45772</v>
      </c>
      <c r="L17" s="3">
        <v>4000000</v>
      </c>
      <c r="M17" s="3">
        <v>3750520</v>
      </c>
      <c r="N17" s="3">
        <v>25125520</v>
      </c>
      <c r="O17" s="3" t="s">
        <v>93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39" x14ac:dyDescent="0.3">
      <c r="A18" s="3" t="s">
        <v>77</v>
      </c>
      <c r="B18" s="3" t="s">
        <v>94</v>
      </c>
      <c r="C18" s="3">
        <v>16</v>
      </c>
      <c r="D18" s="3" t="s">
        <v>95</v>
      </c>
      <c r="E18" s="3" t="s">
        <v>89</v>
      </c>
      <c r="F18" s="3" t="s">
        <v>96</v>
      </c>
      <c r="G18" s="3" t="s">
        <v>97</v>
      </c>
      <c r="H18" s="3" t="s">
        <v>98</v>
      </c>
      <c r="I18" s="3">
        <v>31.742599999999999</v>
      </c>
      <c r="J18" s="3">
        <v>192836.29500000001</v>
      </c>
      <c r="K18" s="4">
        <v>45772</v>
      </c>
      <c r="L18" s="3">
        <v>4000000</v>
      </c>
      <c r="M18" s="3">
        <v>1269720</v>
      </c>
      <c r="N18" s="3">
        <v>93004720</v>
      </c>
      <c r="O18" s="3" t="s">
        <v>99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26" x14ac:dyDescent="0.3">
      <c r="A19" s="3" t="s">
        <v>51</v>
      </c>
      <c r="B19" s="3" t="s">
        <v>50</v>
      </c>
      <c r="C19" s="3">
        <v>17</v>
      </c>
      <c r="D19" s="3" t="s">
        <v>100</v>
      </c>
      <c r="E19" s="3" t="s">
        <v>89</v>
      </c>
      <c r="F19" s="3" t="s">
        <v>101</v>
      </c>
      <c r="G19" s="3" t="s">
        <v>55</v>
      </c>
      <c r="H19" s="3" t="s">
        <v>55</v>
      </c>
      <c r="I19" s="3">
        <v>94.4666</v>
      </c>
      <c r="J19" s="3">
        <v>510119.64</v>
      </c>
      <c r="K19" s="4">
        <v>45785</v>
      </c>
      <c r="L19" s="3">
        <v>4000000</v>
      </c>
      <c r="M19" s="3">
        <v>3778680</v>
      </c>
      <c r="N19" s="3">
        <v>103138680</v>
      </c>
      <c r="O19" s="3" t="s">
        <v>102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39" x14ac:dyDescent="0.3">
      <c r="A20" s="3" t="s">
        <v>77</v>
      </c>
      <c r="B20" s="3" t="s">
        <v>103</v>
      </c>
      <c r="C20" s="3">
        <v>18</v>
      </c>
      <c r="D20" s="3" t="s">
        <v>104</v>
      </c>
      <c r="E20" s="3" t="s">
        <v>105</v>
      </c>
      <c r="F20" s="3" t="s">
        <v>106</v>
      </c>
      <c r="G20" s="3" t="s">
        <v>107</v>
      </c>
      <c r="H20" s="3" t="s">
        <v>108</v>
      </c>
      <c r="I20" s="3">
        <v>67.477500000000006</v>
      </c>
      <c r="J20" s="3">
        <v>819851.625</v>
      </c>
      <c r="K20" s="4">
        <v>45785</v>
      </c>
      <c r="L20" s="3">
        <v>4000000</v>
      </c>
      <c r="M20" s="3">
        <v>2699120</v>
      </c>
      <c r="N20" s="3">
        <v>11329120</v>
      </c>
      <c r="O20" s="3" t="s">
        <v>99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26" x14ac:dyDescent="0.3">
      <c r="A21" s="3" t="s">
        <v>77</v>
      </c>
      <c r="B21" s="3" t="s">
        <v>87</v>
      </c>
      <c r="C21" s="3">
        <v>19</v>
      </c>
      <c r="D21" s="3" t="s">
        <v>109</v>
      </c>
      <c r="E21" s="3" t="s">
        <v>89</v>
      </c>
      <c r="F21" s="3" t="s">
        <v>110</v>
      </c>
      <c r="G21" s="3" t="s">
        <v>111</v>
      </c>
      <c r="H21" s="3" t="s">
        <v>92</v>
      </c>
      <c r="I21" s="3">
        <v>39.498699999999999</v>
      </c>
      <c r="J21" s="3">
        <v>79985</v>
      </c>
      <c r="K21" s="4">
        <v>45785</v>
      </c>
      <c r="L21" s="3">
        <v>4000000</v>
      </c>
      <c r="M21" s="3">
        <v>1579960</v>
      </c>
      <c r="N21" s="3">
        <v>1609960</v>
      </c>
      <c r="O21" s="3" t="s">
        <v>112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26" x14ac:dyDescent="0.3">
      <c r="A22" s="3" t="s">
        <v>44</v>
      </c>
      <c r="B22" s="3" t="s">
        <v>113</v>
      </c>
      <c r="C22" s="3">
        <v>20</v>
      </c>
      <c r="D22" s="3" t="s">
        <v>114</v>
      </c>
      <c r="E22" s="3" t="s">
        <v>18</v>
      </c>
      <c r="F22" s="3" t="s">
        <v>115</v>
      </c>
      <c r="G22" s="3" t="s">
        <v>116</v>
      </c>
      <c r="H22" s="3" t="s">
        <v>117</v>
      </c>
      <c r="I22" s="3">
        <v>10.3956</v>
      </c>
      <c r="J22" s="3">
        <v>74848</v>
      </c>
      <c r="K22" s="4">
        <v>45779</v>
      </c>
      <c r="L22" s="3">
        <v>4000000</v>
      </c>
      <c r="M22" s="3">
        <v>415840</v>
      </c>
      <c r="N22" s="3">
        <v>3105840</v>
      </c>
      <c r="O22" s="3" t="s">
        <v>118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26" x14ac:dyDescent="0.3">
      <c r="A23" s="3" t="s">
        <v>58</v>
      </c>
      <c r="B23" s="3" t="s">
        <v>65</v>
      </c>
      <c r="C23" s="3">
        <v>21</v>
      </c>
      <c r="D23" s="3" t="s">
        <v>119</v>
      </c>
      <c r="E23" s="3" t="s">
        <v>53</v>
      </c>
      <c r="F23" s="3" t="s">
        <v>120</v>
      </c>
      <c r="G23" s="3" t="s">
        <v>121</v>
      </c>
      <c r="H23" s="3" t="s">
        <v>63</v>
      </c>
      <c r="I23" s="3">
        <v>97.204499999999996</v>
      </c>
      <c r="J23" s="3">
        <v>1574712</v>
      </c>
      <c r="K23" s="4">
        <v>45779</v>
      </c>
      <c r="L23" s="3">
        <v>4000000</v>
      </c>
      <c r="M23" s="3">
        <v>3888200</v>
      </c>
      <c r="N23" s="3">
        <v>114678200</v>
      </c>
      <c r="O23" s="3" t="s">
        <v>122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26" x14ac:dyDescent="0.3">
      <c r="A24" s="3" t="s">
        <v>58</v>
      </c>
      <c r="B24" s="3" t="s">
        <v>65</v>
      </c>
      <c r="C24" s="3">
        <v>22</v>
      </c>
      <c r="D24" s="3" t="s">
        <v>123</v>
      </c>
      <c r="E24" s="3" t="s">
        <v>53</v>
      </c>
      <c r="F24" s="3" t="s">
        <v>120</v>
      </c>
      <c r="G24" s="3" t="s">
        <v>121</v>
      </c>
      <c r="H24" s="3" t="s">
        <v>63</v>
      </c>
      <c r="I24" s="3">
        <v>97.5501</v>
      </c>
      <c r="J24" s="3">
        <v>1580312</v>
      </c>
      <c r="K24" s="4">
        <v>45779</v>
      </c>
      <c r="L24" s="3">
        <v>4000000</v>
      </c>
      <c r="M24" s="3">
        <v>3902040</v>
      </c>
      <c r="N24" s="3">
        <v>110322040</v>
      </c>
      <c r="O24" s="3" t="s">
        <v>122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39" x14ac:dyDescent="0.3">
      <c r="A25" s="3" t="s">
        <v>58</v>
      </c>
      <c r="B25" s="3" t="s">
        <v>65</v>
      </c>
      <c r="C25" s="3">
        <v>23</v>
      </c>
      <c r="D25" s="3" t="s">
        <v>124</v>
      </c>
      <c r="E25" s="3" t="s">
        <v>53</v>
      </c>
      <c r="F25" s="3" t="s">
        <v>125</v>
      </c>
      <c r="G25" s="3" t="s">
        <v>121</v>
      </c>
      <c r="H25" s="3" t="s">
        <v>63</v>
      </c>
      <c r="I25" s="3">
        <v>73.674599999999998</v>
      </c>
      <c r="J25" s="3">
        <v>795685</v>
      </c>
      <c r="K25" s="4">
        <v>45779</v>
      </c>
      <c r="L25" s="3">
        <v>4000000</v>
      </c>
      <c r="M25" s="3">
        <v>2947000</v>
      </c>
      <c r="N25" s="3">
        <v>150997000</v>
      </c>
      <c r="O25" s="3" t="s">
        <v>126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26" x14ac:dyDescent="0.3">
      <c r="A26" s="3" t="s">
        <v>58</v>
      </c>
      <c r="B26" s="3" t="s">
        <v>65</v>
      </c>
      <c r="C26" s="3">
        <v>24</v>
      </c>
      <c r="D26" s="3" t="s">
        <v>127</v>
      </c>
      <c r="E26" s="3" t="s">
        <v>53</v>
      </c>
      <c r="F26" s="3" t="s">
        <v>128</v>
      </c>
      <c r="G26" s="3" t="s">
        <v>129</v>
      </c>
      <c r="H26" s="3" t="s">
        <v>130</v>
      </c>
      <c r="I26" s="3">
        <v>90.92</v>
      </c>
      <c r="J26" s="3">
        <v>981936</v>
      </c>
      <c r="K26" s="4">
        <v>45783</v>
      </c>
      <c r="L26" s="3">
        <v>4000000</v>
      </c>
      <c r="M26" s="3">
        <v>3636800</v>
      </c>
      <c r="N26" s="3">
        <v>41816800</v>
      </c>
      <c r="O26" s="3" t="s">
        <v>131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" x14ac:dyDescent="0.3">
      <c r="A27" s="3" t="s">
        <v>58</v>
      </c>
      <c r="B27" s="3" t="s">
        <v>65</v>
      </c>
      <c r="C27" s="3">
        <v>25</v>
      </c>
      <c r="D27" s="3" t="s">
        <v>132</v>
      </c>
      <c r="E27" s="3" t="s">
        <v>53</v>
      </c>
      <c r="F27" s="3" t="s">
        <v>133</v>
      </c>
      <c r="G27" s="3" t="s">
        <v>68</v>
      </c>
      <c r="H27" s="3" t="s">
        <v>63</v>
      </c>
      <c r="I27" s="3">
        <v>55.479599999999998</v>
      </c>
      <c r="J27" s="3">
        <v>599178</v>
      </c>
      <c r="K27" s="4">
        <v>45783</v>
      </c>
      <c r="L27" s="3">
        <v>4000000</v>
      </c>
      <c r="M27" s="3">
        <v>2219200</v>
      </c>
      <c r="N27" s="3">
        <v>79099200</v>
      </c>
      <c r="O27" s="3" t="s">
        <v>134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26" x14ac:dyDescent="0.3">
      <c r="A28" s="3" t="s">
        <v>58</v>
      </c>
      <c r="B28" s="3" t="s">
        <v>65</v>
      </c>
      <c r="C28" s="3">
        <v>26</v>
      </c>
      <c r="D28" s="3" t="s">
        <v>135</v>
      </c>
      <c r="E28" s="3" t="s">
        <v>53</v>
      </c>
      <c r="F28" s="3" t="s">
        <v>136</v>
      </c>
      <c r="G28" s="3" t="s">
        <v>72</v>
      </c>
      <c r="H28" s="3" t="s">
        <v>63</v>
      </c>
      <c r="I28" s="3">
        <v>97.489099999999993</v>
      </c>
      <c r="J28" s="3">
        <v>1052882</v>
      </c>
      <c r="K28" s="4">
        <v>45783</v>
      </c>
      <c r="L28" s="3">
        <v>4000000</v>
      </c>
      <c r="M28" s="3">
        <v>3899600</v>
      </c>
      <c r="N28" s="3">
        <v>82144600</v>
      </c>
      <c r="O28" s="3" t="s">
        <v>73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26" x14ac:dyDescent="0.3">
      <c r="A29" s="3" t="s">
        <v>58</v>
      </c>
      <c r="B29" s="3" t="s">
        <v>65</v>
      </c>
      <c r="C29" s="3">
        <v>27</v>
      </c>
      <c r="D29" s="3" t="s">
        <v>137</v>
      </c>
      <c r="E29" s="3" t="s">
        <v>53</v>
      </c>
      <c r="F29" s="3" t="s">
        <v>138</v>
      </c>
      <c r="G29" s="3" t="s">
        <v>72</v>
      </c>
      <c r="H29" s="3" t="s">
        <v>63</v>
      </c>
      <c r="I29" s="3">
        <v>52.2744</v>
      </c>
      <c r="J29" s="3">
        <v>564564</v>
      </c>
      <c r="K29" s="4">
        <v>45783</v>
      </c>
      <c r="L29" s="3">
        <v>4000000</v>
      </c>
      <c r="M29" s="3">
        <v>2091000</v>
      </c>
      <c r="N29" s="3">
        <v>50091000</v>
      </c>
      <c r="O29" s="3" t="s">
        <v>73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39" x14ac:dyDescent="0.3">
      <c r="A30" s="3" t="s">
        <v>58</v>
      </c>
      <c r="B30" s="3" t="s">
        <v>65</v>
      </c>
      <c r="C30" s="3">
        <v>28</v>
      </c>
      <c r="D30" s="3" t="s">
        <v>139</v>
      </c>
      <c r="E30" s="3" t="s">
        <v>53</v>
      </c>
      <c r="F30" s="3" t="s">
        <v>140</v>
      </c>
      <c r="G30" s="3" t="s">
        <v>72</v>
      </c>
      <c r="H30" s="3" t="s">
        <v>63</v>
      </c>
      <c r="I30" s="3">
        <v>94.260900000000007</v>
      </c>
      <c r="J30" s="3">
        <v>1018017</v>
      </c>
      <c r="K30" s="4">
        <v>45784</v>
      </c>
      <c r="L30" s="3">
        <v>4000000</v>
      </c>
      <c r="M30" s="3">
        <v>3770440</v>
      </c>
      <c r="N30" s="3">
        <v>59300440</v>
      </c>
      <c r="O30" s="3" t="s">
        <v>141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26" x14ac:dyDescent="0.3">
      <c r="A31" s="3" t="s">
        <v>58</v>
      </c>
      <c r="B31" s="3" t="s">
        <v>65</v>
      </c>
      <c r="C31" s="3">
        <v>29</v>
      </c>
      <c r="D31" s="3" t="s">
        <v>142</v>
      </c>
      <c r="E31" s="3" t="s">
        <v>53</v>
      </c>
      <c r="F31" s="3" t="s">
        <v>140</v>
      </c>
      <c r="G31" s="3" t="s">
        <v>72</v>
      </c>
      <c r="H31" s="3" t="s">
        <v>63</v>
      </c>
      <c r="I31" s="3">
        <v>47.059699999999999</v>
      </c>
      <c r="J31" s="3">
        <v>508245</v>
      </c>
      <c r="K31" s="4">
        <v>45784</v>
      </c>
      <c r="L31" s="3">
        <v>4000000</v>
      </c>
      <c r="M31" s="3">
        <v>1882400</v>
      </c>
      <c r="N31" s="3">
        <v>50422400</v>
      </c>
      <c r="O31" s="3" t="s">
        <v>143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26" x14ac:dyDescent="0.3">
      <c r="A32" s="3" t="s">
        <v>58</v>
      </c>
      <c r="B32" s="3" t="s">
        <v>65</v>
      </c>
      <c r="C32" s="3">
        <v>30</v>
      </c>
      <c r="D32" s="3" t="s">
        <v>144</v>
      </c>
      <c r="E32" s="3" t="s">
        <v>53</v>
      </c>
      <c r="F32" s="3" t="s">
        <v>145</v>
      </c>
      <c r="G32" s="3" t="s">
        <v>72</v>
      </c>
      <c r="H32" s="3" t="s">
        <v>63</v>
      </c>
      <c r="I32" s="3">
        <v>95.820999999999998</v>
      </c>
      <c r="J32" s="3">
        <v>1034867</v>
      </c>
      <c r="K32" s="4">
        <v>45784</v>
      </c>
      <c r="L32" s="3">
        <v>4000000</v>
      </c>
      <c r="M32" s="3">
        <v>3832840</v>
      </c>
      <c r="N32" s="3">
        <v>10002840</v>
      </c>
      <c r="O32" s="3" t="s">
        <v>146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26" x14ac:dyDescent="0.3">
      <c r="A33" s="3" t="s">
        <v>58</v>
      </c>
      <c r="B33" s="3" t="s">
        <v>65</v>
      </c>
      <c r="C33" s="3">
        <v>31</v>
      </c>
      <c r="D33" s="3" t="s">
        <v>147</v>
      </c>
      <c r="E33" s="3" t="s">
        <v>18</v>
      </c>
      <c r="F33" s="3" t="s">
        <v>148</v>
      </c>
      <c r="G33" s="3" t="s">
        <v>68</v>
      </c>
      <c r="H33" s="3" t="s">
        <v>63</v>
      </c>
      <c r="I33" s="3">
        <v>92.003299999999996</v>
      </c>
      <c r="J33" s="3">
        <v>993635</v>
      </c>
      <c r="K33" s="4">
        <v>45784</v>
      </c>
      <c r="L33" s="3">
        <v>4000000</v>
      </c>
      <c r="M33" s="3">
        <v>3680160</v>
      </c>
      <c r="N33" s="3">
        <v>131140160</v>
      </c>
      <c r="O33" s="3" t="s">
        <v>64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26" x14ac:dyDescent="0.3">
      <c r="A34" s="3" t="s">
        <v>58</v>
      </c>
      <c r="B34" s="3" t="s">
        <v>65</v>
      </c>
      <c r="C34" s="3">
        <v>32</v>
      </c>
      <c r="D34" s="3" t="s">
        <v>149</v>
      </c>
      <c r="E34" s="3" t="s">
        <v>18</v>
      </c>
      <c r="F34" s="3" t="s">
        <v>150</v>
      </c>
      <c r="G34" s="3" t="s">
        <v>68</v>
      </c>
      <c r="H34" s="3" t="s">
        <v>63</v>
      </c>
      <c r="I34" s="3">
        <v>64.161500000000004</v>
      </c>
      <c r="J34" s="3">
        <v>346472</v>
      </c>
      <c r="K34" s="4">
        <v>45784</v>
      </c>
      <c r="L34" s="3">
        <v>4000000</v>
      </c>
      <c r="M34" s="3">
        <v>2566480</v>
      </c>
      <c r="N34" s="3">
        <v>73171480</v>
      </c>
      <c r="O34" s="3" t="s">
        <v>69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26" x14ac:dyDescent="0.3">
      <c r="A35" s="3" t="s">
        <v>58</v>
      </c>
      <c r="B35" s="3" t="s">
        <v>65</v>
      </c>
      <c r="C35" s="3">
        <v>33</v>
      </c>
      <c r="D35" s="3" t="s">
        <v>151</v>
      </c>
      <c r="E35" s="3" t="s">
        <v>18</v>
      </c>
      <c r="F35" s="3" t="s">
        <v>152</v>
      </c>
      <c r="G35" s="3" t="s">
        <v>68</v>
      </c>
      <c r="H35" s="3" t="s">
        <v>63</v>
      </c>
      <c r="I35" s="3">
        <v>45.539400000000001</v>
      </c>
      <c r="J35" s="3">
        <v>245912</v>
      </c>
      <c r="K35" s="4">
        <v>45784</v>
      </c>
      <c r="L35" s="3">
        <v>4000000</v>
      </c>
      <c r="M35" s="3">
        <v>1821600</v>
      </c>
      <c r="N35" s="3">
        <v>70641600</v>
      </c>
      <c r="O35" s="3" t="s">
        <v>153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26" x14ac:dyDescent="0.3">
      <c r="A36" s="3" t="s">
        <v>58</v>
      </c>
      <c r="B36" s="3" t="s">
        <v>57</v>
      </c>
      <c r="C36" s="3">
        <v>34</v>
      </c>
      <c r="D36" s="3" t="s">
        <v>154</v>
      </c>
      <c r="E36" s="3" t="s">
        <v>105</v>
      </c>
      <c r="F36" s="3" t="s">
        <v>155</v>
      </c>
      <c r="G36" s="3" t="s">
        <v>156</v>
      </c>
      <c r="H36" s="3" t="s">
        <v>63</v>
      </c>
      <c r="I36" s="3">
        <v>83.041200000000003</v>
      </c>
      <c r="J36" s="3">
        <v>1121057</v>
      </c>
      <c r="K36" s="4">
        <v>45811</v>
      </c>
      <c r="L36" s="3">
        <v>4000000</v>
      </c>
      <c r="M36" s="3">
        <v>3321680</v>
      </c>
      <c r="N36" s="3">
        <v>42566680</v>
      </c>
      <c r="O36" s="3" t="s">
        <v>157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26" x14ac:dyDescent="0.3">
      <c r="A37" s="3" t="s">
        <v>58</v>
      </c>
      <c r="B37" s="3" t="s">
        <v>57</v>
      </c>
      <c r="C37" s="3">
        <v>35</v>
      </c>
      <c r="D37" s="3" t="s">
        <v>158</v>
      </c>
      <c r="E37" s="3" t="s">
        <v>105</v>
      </c>
      <c r="F37" s="3" t="s">
        <v>159</v>
      </c>
      <c r="G37" s="3" t="s">
        <v>156</v>
      </c>
      <c r="H37" s="3" t="s">
        <v>63</v>
      </c>
      <c r="I37" s="3">
        <v>36.786999999999999</v>
      </c>
      <c r="J37" s="3">
        <v>496625</v>
      </c>
      <c r="K37" s="4">
        <v>45811</v>
      </c>
      <c r="L37" s="3">
        <v>4000000</v>
      </c>
      <c r="M37" s="3">
        <v>1471480</v>
      </c>
      <c r="N37" s="3">
        <v>21426480</v>
      </c>
      <c r="O37" s="3" t="s">
        <v>146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26" x14ac:dyDescent="0.3">
      <c r="A38" s="3" t="s">
        <v>51</v>
      </c>
      <c r="B38" s="3" t="s">
        <v>50</v>
      </c>
      <c r="C38" s="3">
        <v>36</v>
      </c>
      <c r="D38" s="3" t="s">
        <v>160</v>
      </c>
      <c r="E38" s="3" t="s">
        <v>53</v>
      </c>
      <c r="F38" s="3" t="s">
        <v>161</v>
      </c>
      <c r="G38" s="3" t="s">
        <v>55</v>
      </c>
      <c r="H38" s="3" t="s">
        <v>55</v>
      </c>
      <c r="I38" s="3">
        <v>88.294399999999996</v>
      </c>
      <c r="J38" s="3">
        <v>3178598</v>
      </c>
      <c r="K38" s="4">
        <v>45812</v>
      </c>
      <c r="L38" s="3">
        <v>4000000</v>
      </c>
      <c r="M38" s="3">
        <v>3531800</v>
      </c>
      <c r="N38" s="3">
        <v>83531800</v>
      </c>
      <c r="O38" s="3" t="s">
        <v>162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26" x14ac:dyDescent="0.3">
      <c r="A39" s="3" t="s">
        <v>51</v>
      </c>
      <c r="B39" s="3" t="s">
        <v>50</v>
      </c>
      <c r="C39" s="3">
        <v>37</v>
      </c>
      <c r="D39" s="3" t="s">
        <v>163</v>
      </c>
      <c r="E39" s="3" t="s">
        <v>53</v>
      </c>
      <c r="F39" s="3" t="s">
        <v>164</v>
      </c>
      <c r="G39" s="3" t="s">
        <v>165</v>
      </c>
      <c r="H39" s="3" t="s">
        <v>55</v>
      </c>
      <c r="I39" s="3">
        <v>98.99</v>
      </c>
      <c r="J39" s="3">
        <v>3563640</v>
      </c>
      <c r="K39" s="4">
        <v>45812</v>
      </c>
      <c r="L39" s="3">
        <v>4000000</v>
      </c>
      <c r="M39" s="3">
        <v>3959600</v>
      </c>
      <c r="N39" s="3">
        <v>143299600</v>
      </c>
      <c r="O39" s="3" t="s">
        <v>166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26" x14ac:dyDescent="0.3">
      <c r="A40" s="3" t="s">
        <v>51</v>
      </c>
      <c r="B40" s="3" t="s">
        <v>50</v>
      </c>
      <c r="C40" s="3">
        <v>38</v>
      </c>
      <c r="D40" s="3" t="s">
        <v>167</v>
      </c>
      <c r="E40" s="3" t="s">
        <v>53</v>
      </c>
      <c r="F40" s="3" t="s">
        <v>168</v>
      </c>
      <c r="G40" s="3" t="s">
        <v>165</v>
      </c>
      <c r="H40" s="3" t="s">
        <v>55</v>
      </c>
      <c r="I40" s="3">
        <v>36.08</v>
      </c>
      <c r="J40" s="3">
        <v>1298880</v>
      </c>
      <c r="K40" s="4">
        <v>45812</v>
      </c>
      <c r="L40" s="3">
        <v>4000000</v>
      </c>
      <c r="M40" s="3">
        <v>1443200</v>
      </c>
      <c r="N40" s="3">
        <v>42103200</v>
      </c>
      <c r="O40" s="3" t="s">
        <v>169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26" x14ac:dyDescent="0.3">
      <c r="A41" s="3" t="s">
        <v>51</v>
      </c>
      <c r="B41" s="3" t="s">
        <v>50</v>
      </c>
      <c r="C41" s="3">
        <v>39</v>
      </c>
      <c r="D41" s="3" t="s">
        <v>170</v>
      </c>
      <c r="E41" s="3" t="s">
        <v>53</v>
      </c>
      <c r="F41" s="3" t="s">
        <v>171</v>
      </c>
      <c r="G41" s="3" t="s">
        <v>165</v>
      </c>
      <c r="H41" s="3" t="s">
        <v>55</v>
      </c>
      <c r="I41" s="3">
        <v>73.61</v>
      </c>
      <c r="J41" s="3">
        <v>2649960</v>
      </c>
      <c r="K41" s="4">
        <v>45813</v>
      </c>
      <c r="L41" s="3">
        <v>4000000</v>
      </c>
      <c r="M41" s="3">
        <v>2944400</v>
      </c>
      <c r="N41" s="3">
        <v>80009400</v>
      </c>
      <c r="O41" s="3" t="s">
        <v>172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39" x14ac:dyDescent="0.3">
      <c r="A42" s="3" t="s">
        <v>51</v>
      </c>
      <c r="B42" s="3" t="s">
        <v>50</v>
      </c>
      <c r="C42" s="3">
        <v>40</v>
      </c>
      <c r="D42" s="3" t="s">
        <v>173</v>
      </c>
      <c r="E42" s="3" t="s">
        <v>53</v>
      </c>
      <c r="F42" s="3" t="s">
        <v>174</v>
      </c>
      <c r="G42" s="3" t="s">
        <v>55</v>
      </c>
      <c r="H42" s="3" t="s">
        <v>55</v>
      </c>
      <c r="I42" s="3">
        <v>57.73</v>
      </c>
      <c r="J42" s="3">
        <v>2078280</v>
      </c>
      <c r="K42" s="4">
        <v>45813</v>
      </c>
      <c r="L42" s="3">
        <v>4000000</v>
      </c>
      <c r="M42" s="3">
        <v>2309200</v>
      </c>
      <c r="N42" s="3">
        <v>83199200</v>
      </c>
      <c r="O42" s="3" t="s">
        <v>175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26" x14ac:dyDescent="0.3">
      <c r="A43" s="3" t="s">
        <v>51</v>
      </c>
      <c r="B43" s="3" t="s">
        <v>50</v>
      </c>
      <c r="C43" s="3">
        <v>41</v>
      </c>
      <c r="D43" s="3" t="s">
        <v>176</v>
      </c>
      <c r="E43" s="3" t="s">
        <v>53</v>
      </c>
      <c r="F43" s="3" t="s">
        <v>177</v>
      </c>
      <c r="G43" s="3" t="s">
        <v>55</v>
      </c>
      <c r="H43" s="3" t="s">
        <v>55</v>
      </c>
      <c r="I43" s="3">
        <v>38.67</v>
      </c>
      <c r="J43" s="3">
        <v>1392120</v>
      </c>
      <c r="K43" s="4">
        <v>45813</v>
      </c>
      <c r="L43" s="3">
        <v>4000000</v>
      </c>
      <c r="M43" s="3">
        <v>1546800</v>
      </c>
      <c r="N43" s="3">
        <v>91561800</v>
      </c>
      <c r="O43" s="3" t="s">
        <v>178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26" x14ac:dyDescent="0.3">
      <c r="A44" s="3" t="s">
        <v>51</v>
      </c>
      <c r="B44" s="3" t="s">
        <v>50</v>
      </c>
      <c r="C44" s="3">
        <v>42</v>
      </c>
      <c r="D44" s="3" t="s">
        <v>179</v>
      </c>
      <c r="E44" s="3" t="s">
        <v>53</v>
      </c>
      <c r="F44" s="3" t="s">
        <v>177</v>
      </c>
      <c r="G44" s="3" t="s">
        <v>55</v>
      </c>
      <c r="H44" s="3" t="s">
        <v>55</v>
      </c>
      <c r="I44" s="3">
        <v>52.305300000000003</v>
      </c>
      <c r="J44" s="3">
        <v>1882991</v>
      </c>
      <c r="K44" s="4">
        <v>45814</v>
      </c>
      <c r="L44" s="3">
        <v>4000000</v>
      </c>
      <c r="M44" s="3">
        <v>2092240</v>
      </c>
      <c r="N44" s="3">
        <v>163092240</v>
      </c>
      <c r="O44" s="3" t="s">
        <v>180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39" x14ac:dyDescent="0.3">
      <c r="A45" s="3" t="s">
        <v>51</v>
      </c>
      <c r="B45" s="3" t="s">
        <v>50</v>
      </c>
      <c r="C45" s="3">
        <v>43</v>
      </c>
      <c r="D45" s="3" t="s">
        <v>181</v>
      </c>
      <c r="E45" s="3" t="s">
        <v>53</v>
      </c>
      <c r="F45" s="3" t="s">
        <v>177</v>
      </c>
      <c r="G45" s="3" t="s">
        <v>55</v>
      </c>
      <c r="H45" s="3" t="s">
        <v>55</v>
      </c>
      <c r="I45" s="3">
        <v>37.592199999999998</v>
      </c>
      <c r="J45" s="3">
        <v>1353319</v>
      </c>
      <c r="K45" s="4">
        <v>45814</v>
      </c>
      <c r="L45" s="3">
        <v>4000000</v>
      </c>
      <c r="M45" s="3">
        <v>1503720</v>
      </c>
      <c r="N45" s="3">
        <v>110003720</v>
      </c>
      <c r="O45" s="3" t="s">
        <v>182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26" x14ac:dyDescent="0.3">
      <c r="A46" s="3" t="s">
        <v>51</v>
      </c>
      <c r="B46" s="3" t="s">
        <v>50</v>
      </c>
      <c r="C46" s="3">
        <v>44</v>
      </c>
      <c r="D46" s="3" t="s">
        <v>183</v>
      </c>
      <c r="E46" s="3" t="s">
        <v>53</v>
      </c>
      <c r="F46" s="3" t="s">
        <v>164</v>
      </c>
      <c r="G46" s="3" t="s">
        <v>165</v>
      </c>
      <c r="H46" s="3" t="s">
        <v>55</v>
      </c>
      <c r="I46" s="3">
        <v>75.599999999999994</v>
      </c>
      <c r="J46" s="3">
        <v>2721600</v>
      </c>
      <c r="K46" s="4">
        <v>45814</v>
      </c>
      <c r="L46" s="3">
        <v>4000000</v>
      </c>
      <c r="M46" s="3">
        <v>3024000</v>
      </c>
      <c r="N46" s="3">
        <v>90099000</v>
      </c>
      <c r="O46" s="3" t="s">
        <v>184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39" x14ac:dyDescent="0.3">
      <c r="A47" s="3" t="s">
        <v>51</v>
      </c>
      <c r="B47" s="3" t="s">
        <v>50</v>
      </c>
      <c r="C47" s="3">
        <v>45</v>
      </c>
      <c r="D47" s="3" t="s">
        <v>185</v>
      </c>
      <c r="E47" s="3" t="s">
        <v>53</v>
      </c>
      <c r="F47" s="3" t="s">
        <v>186</v>
      </c>
      <c r="G47" s="3" t="s">
        <v>187</v>
      </c>
      <c r="H47" s="3" t="s">
        <v>55</v>
      </c>
      <c r="I47" s="3">
        <v>90.237300000000005</v>
      </c>
      <c r="J47" s="3">
        <v>3248542.8</v>
      </c>
      <c r="K47" s="4">
        <v>45818</v>
      </c>
      <c r="L47" s="3">
        <v>4000000</v>
      </c>
      <c r="M47" s="3">
        <v>3609520</v>
      </c>
      <c r="N47" s="3">
        <v>86604520</v>
      </c>
      <c r="O47" s="3" t="s">
        <v>188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39" x14ac:dyDescent="0.3">
      <c r="A48" s="3" t="s">
        <v>51</v>
      </c>
      <c r="B48" s="3" t="s">
        <v>50</v>
      </c>
      <c r="C48" s="3">
        <v>46</v>
      </c>
      <c r="D48" s="3" t="s">
        <v>189</v>
      </c>
      <c r="E48" s="3" t="s">
        <v>53</v>
      </c>
      <c r="F48" s="3" t="s">
        <v>190</v>
      </c>
      <c r="G48" s="3" t="s">
        <v>187</v>
      </c>
      <c r="H48" s="3" t="s">
        <v>55</v>
      </c>
      <c r="I48" s="3">
        <v>12.6858</v>
      </c>
      <c r="J48" s="3">
        <v>456688.8</v>
      </c>
      <c r="K48" s="4">
        <v>45818</v>
      </c>
      <c r="L48" s="3">
        <v>4000000</v>
      </c>
      <c r="M48" s="3">
        <v>507440</v>
      </c>
      <c r="N48" s="3">
        <v>9062440</v>
      </c>
      <c r="O48" s="3" t="s">
        <v>188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39" x14ac:dyDescent="0.3">
      <c r="A49" s="3" t="s">
        <v>51</v>
      </c>
      <c r="B49" s="3" t="s">
        <v>50</v>
      </c>
      <c r="C49" s="3">
        <v>47</v>
      </c>
      <c r="D49" s="3" t="s">
        <v>191</v>
      </c>
      <c r="E49" s="3" t="s">
        <v>53</v>
      </c>
      <c r="F49" s="3" t="s">
        <v>190</v>
      </c>
      <c r="G49" s="3" t="s">
        <v>187</v>
      </c>
      <c r="H49" s="3" t="s">
        <v>55</v>
      </c>
      <c r="I49" s="3">
        <v>44.401800000000001</v>
      </c>
      <c r="J49" s="3">
        <v>1598464.8</v>
      </c>
      <c r="K49" s="4">
        <v>45818</v>
      </c>
      <c r="L49" s="3">
        <v>4000000</v>
      </c>
      <c r="M49" s="3">
        <v>1776080</v>
      </c>
      <c r="N49" s="3">
        <v>30251080</v>
      </c>
      <c r="O49" s="3" t="s">
        <v>188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39" x14ac:dyDescent="0.3">
      <c r="A50" s="3" t="s">
        <v>51</v>
      </c>
      <c r="B50" s="3" t="s">
        <v>50</v>
      </c>
      <c r="C50" s="3">
        <v>48</v>
      </c>
      <c r="D50" s="3" t="s">
        <v>192</v>
      </c>
      <c r="E50" s="3" t="s">
        <v>53</v>
      </c>
      <c r="F50" s="3" t="s">
        <v>193</v>
      </c>
      <c r="G50" s="3" t="s">
        <v>187</v>
      </c>
      <c r="H50" s="3" t="s">
        <v>55</v>
      </c>
      <c r="I50" s="3">
        <v>61.188600000000001</v>
      </c>
      <c r="J50" s="3">
        <v>2382789.6</v>
      </c>
      <c r="K50" s="4">
        <v>45819</v>
      </c>
      <c r="L50" s="3">
        <v>4000000</v>
      </c>
      <c r="M50" s="3">
        <v>2447560</v>
      </c>
      <c r="N50" s="3">
        <v>53347560</v>
      </c>
      <c r="O50" s="3" t="s">
        <v>188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39" x14ac:dyDescent="0.3">
      <c r="A51" s="3" t="s">
        <v>51</v>
      </c>
      <c r="B51" s="3" t="s">
        <v>50</v>
      </c>
      <c r="C51" s="3">
        <v>49</v>
      </c>
      <c r="D51" s="3" t="s">
        <v>194</v>
      </c>
      <c r="E51" s="3" t="s">
        <v>53</v>
      </c>
      <c r="F51" s="3" t="s">
        <v>195</v>
      </c>
      <c r="G51" s="3" t="s">
        <v>196</v>
      </c>
      <c r="H51" s="3" t="s">
        <v>55</v>
      </c>
      <c r="I51" s="3">
        <v>62.723700000000001</v>
      </c>
      <c r="J51" s="3">
        <v>2258053</v>
      </c>
      <c r="K51" s="4">
        <v>45819</v>
      </c>
      <c r="L51" s="3">
        <v>4000000</v>
      </c>
      <c r="M51" s="3">
        <v>2508960</v>
      </c>
      <c r="N51" s="3">
        <v>56438960</v>
      </c>
      <c r="O51" s="3" t="s">
        <v>188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39" x14ac:dyDescent="0.3">
      <c r="A52" s="3" t="s">
        <v>51</v>
      </c>
      <c r="B52" s="3" t="s">
        <v>50</v>
      </c>
      <c r="C52" s="3">
        <v>50</v>
      </c>
      <c r="D52" s="3" t="s">
        <v>197</v>
      </c>
      <c r="E52" s="3" t="s">
        <v>53</v>
      </c>
      <c r="F52" s="3" t="s">
        <v>198</v>
      </c>
      <c r="G52" s="3" t="s">
        <v>196</v>
      </c>
      <c r="H52" s="3" t="s">
        <v>55</v>
      </c>
      <c r="I52" s="3">
        <v>73.621799999999993</v>
      </c>
      <c r="J52" s="3">
        <v>2650384.7999999998</v>
      </c>
      <c r="K52" s="4">
        <v>45819</v>
      </c>
      <c r="L52" s="3">
        <v>4000000</v>
      </c>
      <c r="M52" s="3">
        <v>2944880</v>
      </c>
      <c r="N52" s="3">
        <v>93524880</v>
      </c>
      <c r="O52" s="3" t="s">
        <v>188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39" x14ac:dyDescent="0.3">
      <c r="A53" s="3" t="s">
        <v>51</v>
      </c>
      <c r="B53" s="3" t="s">
        <v>50</v>
      </c>
      <c r="C53" s="3">
        <v>51</v>
      </c>
      <c r="D53" s="3" t="s">
        <v>199</v>
      </c>
      <c r="E53" s="3" t="s">
        <v>53</v>
      </c>
      <c r="F53" s="3" t="s">
        <v>200</v>
      </c>
      <c r="G53" s="3" t="s">
        <v>187</v>
      </c>
      <c r="H53" s="3" t="s">
        <v>55</v>
      </c>
      <c r="I53" s="3">
        <v>97.76</v>
      </c>
      <c r="J53" s="3">
        <v>3519360</v>
      </c>
      <c r="K53" s="4">
        <v>45820</v>
      </c>
      <c r="L53" s="3">
        <v>4000000</v>
      </c>
      <c r="M53" s="3">
        <v>3910400</v>
      </c>
      <c r="N53" s="3">
        <v>116100400</v>
      </c>
      <c r="O53" s="3" t="s">
        <v>201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39" x14ac:dyDescent="0.3">
      <c r="A54" s="3" t="s">
        <v>51</v>
      </c>
      <c r="B54" s="3" t="s">
        <v>50</v>
      </c>
      <c r="C54" s="3">
        <v>52</v>
      </c>
      <c r="D54" s="3" t="s">
        <v>202</v>
      </c>
      <c r="E54" s="3" t="s">
        <v>53</v>
      </c>
      <c r="F54" s="3" t="s">
        <v>203</v>
      </c>
      <c r="G54" s="3" t="s">
        <v>187</v>
      </c>
      <c r="H54" s="3" t="s">
        <v>55</v>
      </c>
      <c r="I54" s="3">
        <v>96.41</v>
      </c>
      <c r="J54" s="3">
        <v>3470760</v>
      </c>
      <c r="K54" s="4">
        <v>45820</v>
      </c>
      <c r="L54" s="3">
        <v>4000000</v>
      </c>
      <c r="M54" s="3">
        <v>3856400</v>
      </c>
      <c r="N54" s="3">
        <v>82271400</v>
      </c>
      <c r="O54" s="3" t="s">
        <v>204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39" x14ac:dyDescent="0.3">
      <c r="A55" s="3" t="s">
        <v>51</v>
      </c>
      <c r="B55" s="3" t="s">
        <v>50</v>
      </c>
      <c r="C55" s="3">
        <v>53</v>
      </c>
      <c r="D55" s="3" t="s">
        <v>205</v>
      </c>
      <c r="E55" s="3" t="s">
        <v>53</v>
      </c>
      <c r="F55" s="3" t="s">
        <v>203</v>
      </c>
      <c r="G55" s="3" t="s">
        <v>187</v>
      </c>
      <c r="H55" s="3" t="s">
        <v>55</v>
      </c>
      <c r="I55" s="3">
        <v>84.796599999999998</v>
      </c>
      <c r="J55" s="3">
        <v>3052677.6</v>
      </c>
      <c r="K55" s="4">
        <v>45820</v>
      </c>
      <c r="L55" s="3">
        <v>4000000</v>
      </c>
      <c r="M55" s="3">
        <v>3391880</v>
      </c>
      <c r="N55" s="3">
        <v>70016880</v>
      </c>
      <c r="O55" s="3" t="s">
        <v>206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39" x14ac:dyDescent="0.3">
      <c r="A56" s="3" t="s">
        <v>51</v>
      </c>
      <c r="B56" s="3" t="s">
        <v>50</v>
      </c>
      <c r="C56" s="3">
        <v>54</v>
      </c>
      <c r="D56" s="3" t="s">
        <v>207</v>
      </c>
      <c r="E56" s="3" t="s">
        <v>53</v>
      </c>
      <c r="F56" s="3" t="s">
        <v>203</v>
      </c>
      <c r="G56" s="3" t="s">
        <v>187</v>
      </c>
      <c r="H56" s="3" t="s">
        <v>55</v>
      </c>
      <c r="I56" s="3">
        <v>93.022999999999996</v>
      </c>
      <c r="J56" s="3">
        <v>3348828</v>
      </c>
      <c r="K56" s="4">
        <v>45821</v>
      </c>
      <c r="L56" s="3">
        <v>4000000</v>
      </c>
      <c r="M56" s="3">
        <v>3720920</v>
      </c>
      <c r="N56" s="3">
        <v>81095920</v>
      </c>
      <c r="O56" s="3" t="s">
        <v>208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26" x14ac:dyDescent="0.3">
      <c r="A57" s="3" t="s">
        <v>51</v>
      </c>
      <c r="B57" s="3" t="s">
        <v>50</v>
      </c>
      <c r="C57" s="3">
        <v>55</v>
      </c>
      <c r="D57" s="3" t="s">
        <v>209</v>
      </c>
      <c r="E57" s="3" t="s">
        <v>53</v>
      </c>
      <c r="F57" s="3" t="s">
        <v>210</v>
      </c>
      <c r="G57" s="3" t="s">
        <v>196</v>
      </c>
      <c r="H57" s="3" t="s">
        <v>55</v>
      </c>
      <c r="I57" s="3">
        <v>77.175799999999995</v>
      </c>
      <c r="J57" s="3">
        <v>2778328.8</v>
      </c>
      <c r="K57" s="4">
        <v>45821</v>
      </c>
      <c r="L57" s="3">
        <v>4000000</v>
      </c>
      <c r="M57" s="3">
        <v>3087040</v>
      </c>
      <c r="N57" s="3">
        <v>201017040</v>
      </c>
      <c r="O57" s="3" t="s">
        <v>211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26" x14ac:dyDescent="0.3">
      <c r="A58" s="3" t="s">
        <v>51</v>
      </c>
      <c r="B58" s="3" t="s">
        <v>50</v>
      </c>
      <c r="C58" s="3">
        <v>56</v>
      </c>
      <c r="D58" s="3" t="s">
        <v>212</v>
      </c>
      <c r="E58" s="3" t="s">
        <v>53</v>
      </c>
      <c r="F58" s="3" t="s">
        <v>213</v>
      </c>
      <c r="G58" s="3" t="s">
        <v>196</v>
      </c>
      <c r="H58" s="3" t="s">
        <v>55</v>
      </c>
      <c r="I58" s="3">
        <v>82.52</v>
      </c>
      <c r="J58" s="3">
        <v>2970720</v>
      </c>
      <c r="K58" s="4">
        <v>45821</v>
      </c>
      <c r="L58" s="3">
        <v>4000000</v>
      </c>
      <c r="M58" s="3">
        <v>3300800</v>
      </c>
      <c r="N58" s="3">
        <v>129995800</v>
      </c>
      <c r="O58" s="3" t="s">
        <v>208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26" x14ac:dyDescent="0.3">
      <c r="A59" s="3" t="s">
        <v>77</v>
      </c>
      <c r="B59" s="3" t="s">
        <v>214</v>
      </c>
      <c r="C59" s="3">
        <v>57</v>
      </c>
      <c r="D59" s="3" t="s">
        <v>215</v>
      </c>
      <c r="E59" s="3" t="s">
        <v>89</v>
      </c>
      <c r="F59" s="3" t="s">
        <v>216</v>
      </c>
      <c r="G59" s="3" t="s">
        <v>217</v>
      </c>
      <c r="H59" s="3" t="s">
        <v>218</v>
      </c>
      <c r="I59" s="3">
        <v>100</v>
      </c>
      <c r="J59" s="3">
        <v>270000</v>
      </c>
      <c r="K59" s="4">
        <v>45825</v>
      </c>
      <c r="L59" s="3">
        <v>4000000</v>
      </c>
      <c r="M59" s="3">
        <v>4000000</v>
      </c>
      <c r="N59" s="3">
        <v>115245000</v>
      </c>
      <c r="O59" s="3" t="s">
        <v>219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39" x14ac:dyDescent="0.3">
      <c r="A60" s="3" t="s">
        <v>77</v>
      </c>
      <c r="B60" s="3" t="s">
        <v>214</v>
      </c>
      <c r="C60" s="3">
        <v>58</v>
      </c>
      <c r="D60" s="3" t="s">
        <v>220</v>
      </c>
      <c r="E60" s="3" t="s">
        <v>89</v>
      </c>
      <c r="F60" s="3" t="s">
        <v>216</v>
      </c>
      <c r="G60" s="3" t="s">
        <v>217</v>
      </c>
      <c r="H60" s="3" t="s">
        <v>218</v>
      </c>
      <c r="I60" s="3">
        <v>100</v>
      </c>
      <c r="J60" s="3">
        <v>270000</v>
      </c>
      <c r="K60" s="4">
        <v>45825</v>
      </c>
      <c r="L60" s="3">
        <v>4000000</v>
      </c>
      <c r="M60" s="3">
        <v>4000000</v>
      </c>
      <c r="N60" s="3">
        <v>134135000</v>
      </c>
      <c r="O60" s="3" t="s">
        <v>221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26" x14ac:dyDescent="0.3">
      <c r="A61" s="3" t="s">
        <v>58</v>
      </c>
      <c r="B61" s="3" t="s">
        <v>65</v>
      </c>
      <c r="C61" s="3">
        <v>59</v>
      </c>
      <c r="D61" s="3" t="s">
        <v>222</v>
      </c>
      <c r="E61" s="3" t="s">
        <v>89</v>
      </c>
      <c r="F61" s="3" t="s">
        <v>223</v>
      </c>
      <c r="G61" s="3" t="s">
        <v>224</v>
      </c>
      <c r="H61" s="3" t="s">
        <v>63</v>
      </c>
      <c r="I61" s="3">
        <v>25.715</v>
      </c>
      <c r="J61" s="3">
        <v>277722</v>
      </c>
      <c r="K61" s="4">
        <v>45825</v>
      </c>
      <c r="L61" s="3">
        <v>4000000</v>
      </c>
      <c r="M61" s="3">
        <v>1028600</v>
      </c>
      <c r="N61" s="3">
        <v>21903600</v>
      </c>
      <c r="O61" s="3" t="s">
        <v>225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26" x14ac:dyDescent="0.3">
      <c r="A62" s="3" t="s">
        <v>58</v>
      </c>
      <c r="B62" s="3" t="s">
        <v>65</v>
      </c>
      <c r="C62" s="3">
        <v>60</v>
      </c>
      <c r="D62" s="3" t="s">
        <v>226</v>
      </c>
      <c r="E62" s="3" t="s">
        <v>89</v>
      </c>
      <c r="F62" s="3" t="s">
        <v>223</v>
      </c>
      <c r="G62" s="3" t="s">
        <v>224</v>
      </c>
      <c r="H62" s="3" t="s">
        <v>63</v>
      </c>
      <c r="I62" s="3">
        <v>63.999899999999997</v>
      </c>
      <c r="J62" s="3">
        <v>691198</v>
      </c>
      <c r="K62" s="4">
        <v>45826</v>
      </c>
      <c r="L62" s="3">
        <v>4000000</v>
      </c>
      <c r="M62" s="3">
        <v>2560000</v>
      </c>
      <c r="N62" s="3">
        <v>82300000</v>
      </c>
      <c r="O62" s="3" t="s">
        <v>225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39" x14ac:dyDescent="0.3">
      <c r="A63" s="3" t="s">
        <v>58</v>
      </c>
      <c r="B63" s="3" t="s">
        <v>65</v>
      </c>
      <c r="C63" s="3">
        <v>61</v>
      </c>
      <c r="D63" s="3" t="s">
        <v>227</v>
      </c>
      <c r="E63" s="3" t="s">
        <v>89</v>
      </c>
      <c r="F63" s="3" t="s">
        <v>228</v>
      </c>
      <c r="G63" s="3" t="s">
        <v>224</v>
      </c>
      <c r="H63" s="3" t="s">
        <v>63</v>
      </c>
      <c r="I63" s="3">
        <v>52.442300000000003</v>
      </c>
      <c r="J63" s="3">
        <v>566376</v>
      </c>
      <c r="K63" s="4">
        <v>45826</v>
      </c>
      <c r="L63" s="3">
        <v>4000000</v>
      </c>
      <c r="M63" s="3">
        <v>2097720</v>
      </c>
      <c r="N63" s="3">
        <v>36922720</v>
      </c>
      <c r="O63" s="3" t="s">
        <v>83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52" x14ac:dyDescent="0.3">
      <c r="A64" s="3" t="s">
        <v>77</v>
      </c>
      <c r="B64" s="3" t="s">
        <v>76</v>
      </c>
      <c r="C64" s="3">
        <v>62</v>
      </c>
      <c r="D64" s="3" t="s">
        <v>229</v>
      </c>
      <c r="E64" s="3" t="s">
        <v>53</v>
      </c>
      <c r="F64" s="3" t="s">
        <v>230</v>
      </c>
      <c r="G64" s="3" t="s">
        <v>231</v>
      </c>
      <c r="H64" s="3" t="s">
        <v>82</v>
      </c>
      <c r="I64" s="3">
        <v>86.978999999999999</v>
      </c>
      <c r="J64" s="3">
        <v>352264</v>
      </c>
      <c r="K64" s="4">
        <v>45825</v>
      </c>
      <c r="L64" s="3">
        <v>4000000</v>
      </c>
      <c r="M64" s="3">
        <v>3479160</v>
      </c>
      <c r="N64" s="3">
        <v>4064160</v>
      </c>
      <c r="O64" s="3" t="s">
        <v>232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52" x14ac:dyDescent="0.3">
      <c r="A65" s="3" t="s">
        <v>77</v>
      </c>
      <c r="B65" s="3" t="s">
        <v>76</v>
      </c>
      <c r="C65" s="3">
        <v>63</v>
      </c>
      <c r="D65" s="3" t="s">
        <v>233</v>
      </c>
      <c r="E65" s="3" t="s">
        <v>53</v>
      </c>
      <c r="F65" s="3" t="s">
        <v>234</v>
      </c>
      <c r="G65" s="3" t="s">
        <v>231</v>
      </c>
      <c r="H65" s="3" t="s">
        <v>82</v>
      </c>
      <c r="I65" s="3">
        <v>68.757599999999996</v>
      </c>
      <c r="J65" s="3">
        <v>92823</v>
      </c>
      <c r="K65" s="4">
        <v>45826</v>
      </c>
      <c r="L65" s="3">
        <v>4000000</v>
      </c>
      <c r="M65" s="3">
        <v>2750320</v>
      </c>
      <c r="N65" s="3">
        <v>2910320</v>
      </c>
      <c r="O65" s="3" t="s">
        <v>232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52" x14ac:dyDescent="0.3">
      <c r="A66" s="3" t="s">
        <v>77</v>
      </c>
      <c r="B66" s="3" t="s">
        <v>76</v>
      </c>
      <c r="C66" s="3">
        <v>64</v>
      </c>
      <c r="D66" s="3" t="s">
        <v>235</v>
      </c>
      <c r="E66" s="3" t="s">
        <v>53</v>
      </c>
      <c r="F66" s="3" t="s">
        <v>236</v>
      </c>
      <c r="G66" s="3" t="s">
        <v>231</v>
      </c>
      <c r="H66" s="3" t="s">
        <v>82</v>
      </c>
      <c r="I66" s="3">
        <v>91.031300000000002</v>
      </c>
      <c r="J66" s="3">
        <v>147471</v>
      </c>
      <c r="K66" s="4">
        <v>45827</v>
      </c>
      <c r="L66" s="3">
        <v>4000000</v>
      </c>
      <c r="M66" s="3">
        <v>3641280</v>
      </c>
      <c r="N66" s="3">
        <v>3931280</v>
      </c>
      <c r="O66" s="3" t="s">
        <v>232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52" x14ac:dyDescent="0.3">
      <c r="A67" s="3" t="s">
        <v>77</v>
      </c>
      <c r="B67" s="3" t="s">
        <v>76</v>
      </c>
      <c r="C67" s="3">
        <v>65</v>
      </c>
      <c r="D67" s="3" t="s">
        <v>237</v>
      </c>
      <c r="E67" s="3" t="s">
        <v>79</v>
      </c>
      <c r="F67" s="3" t="s">
        <v>238</v>
      </c>
      <c r="G67" s="3" t="s">
        <v>239</v>
      </c>
      <c r="H67" s="3" t="s">
        <v>82</v>
      </c>
      <c r="I67" s="3">
        <v>72.2029</v>
      </c>
      <c r="J67" s="3">
        <v>194947.83</v>
      </c>
      <c r="K67" s="4">
        <v>45828</v>
      </c>
      <c r="L67" s="3">
        <v>4000000</v>
      </c>
      <c r="M67" s="3">
        <v>2888120</v>
      </c>
      <c r="N67" s="3">
        <v>3158120</v>
      </c>
      <c r="O67" s="3" t="s">
        <v>240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52" x14ac:dyDescent="0.3">
      <c r="A68" s="3" t="s">
        <v>77</v>
      </c>
      <c r="B68" s="3" t="s">
        <v>76</v>
      </c>
      <c r="C68" s="3">
        <v>66</v>
      </c>
      <c r="D68" s="3" t="s">
        <v>241</v>
      </c>
      <c r="E68" s="3" t="s">
        <v>79</v>
      </c>
      <c r="F68" s="3" t="s">
        <v>242</v>
      </c>
      <c r="G68" s="3" t="s">
        <v>243</v>
      </c>
      <c r="H68" s="3" t="s">
        <v>82</v>
      </c>
      <c r="I68" s="3">
        <v>68.308300000000003</v>
      </c>
      <c r="J68" s="3">
        <v>230540.51</v>
      </c>
      <c r="K68" s="4">
        <v>45832</v>
      </c>
      <c r="L68" s="3">
        <v>4000000</v>
      </c>
      <c r="M68" s="3">
        <v>2732360</v>
      </c>
      <c r="N68" s="3">
        <v>3012360</v>
      </c>
      <c r="O68" s="3" t="s">
        <v>244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52" x14ac:dyDescent="0.3">
      <c r="A69" s="3" t="s">
        <v>77</v>
      </c>
      <c r="B69" s="3" t="s">
        <v>76</v>
      </c>
      <c r="C69" s="3">
        <v>67</v>
      </c>
      <c r="D69" s="3" t="s">
        <v>245</v>
      </c>
      <c r="E69" s="3" t="s">
        <v>79</v>
      </c>
      <c r="F69" s="3" t="s">
        <v>246</v>
      </c>
      <c r="G69" s="3" t="s">
        <v>243</v>
      </c>
      <c r="H69" s="3" t="s">
        <v>82</v>
      </c>
      <c r="I69" s="3">
        <v>41.845399999999998</v>
      </c>
      <c r="J69" s="3">
        <v>133959.09599999999</v>
      </c>
      <c r="K69" s="4">
        <v>45833</v>
      </c>
      <c r="L69" s="3">
        <v>4000000</v>
      </c>
      <c r="M69" s="3">
        <v>1673840</v>
      </c>
      <c r="N69" s="3">
        <v>2033840</v>
      </c>
      <c r="O69" s="3" t="s">
        <v>247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52" x14ac:dyDescent="0.3">
      <c r="A70" s="3" t="s">
        <v>77</v>
      </c>
      <c r="B70" s="3" t="s">
        <v>87</v>
      </c>
      <c r="C70" s="3">
        <v>68</v>
      </c>
      <c r="D70" s="3" t="s">
        <v>248</v>
      </c>
      <c r="E70" s="3" t="s">
        <v>249</v>
      </c>
      <c r="F70" s="3" t="s">
        <v>250</v>
      </c>
      <c r="G70" s="3" t="s">
        <v>251</v>
      </c>
      <c r="H70" s="3" t="s">
        <v>92</v>
      </c>
      <c r="I70" s="3">
        <v>83.571200000000005</v>
      </c>
      <c r="J70" s="3">
        <v>473849</v>
      </c>
      <c r="K70" s="4">
        <v>46090</v>
      </c>
      <c r="L70" s="3">
        <v>4000000</v>
      </c>
      <c r="M70" s="3">
        <v>3342880</v>
      </c>
      <c r="N70" s="3">
        <v>200012880</v>
      </c>
      <c r="O70" s="3" t="s">
        <v>252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52" x14ac:dyDescent="0.3">
      <c r="A71" s="3" t="s">
        <v>77</v>
      </c>
      <c r="B71" s="3" t="s">
        <v>87</v>
      </c>
      <c r="C71" s="3">
        <v>69</v>
      </c>
      <c r="D71" s="3" t="s">
        <v>253</v>
      </c>
      <c r="E71" s="3" t="s">
        <v>249</v>
      </c>
      <c r="F71" s="3" t="s">
        <v>254</v>
      </c>
      <c r="G71" s="3" t="s">
        <v>251</v>
      </c>
      <c r="H71" s="3" t="s">
        <v>92</v>
      </c>
      <c r="I71" s="3">
        <v>53.851300000000002</v>
      </c>
      <c r="J71" s="3">
        <v>305337</v>
      </c>
      <c r="K71" s="4">
        <v>46090</v>
      </c>
      <c r="L71" s="3">
        <v>4000000</v>
      </c>
      <c r="M71" s="3">
        <v>2154080</v>
      </c>
      <c r="N71" s="3">
        <v>71354080</v>
      </c>
      <c r="O71" s="3" t="s">
        <v>255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52" x14ac:dyDescent="0.3">
      <c r="A72" s="3" t="s">
        <v>77</v>
      </c>
      <c r="B72" s="3" t="s">
        <v>87</v>
      </c>
      <c r="C72" s="3">
        <v>70</v>
      </c>
      <c r="D72" s="3" t="s">
        <v>256</v>
      </c>
      <c r="E72" s="3" t="s">
        <v>249</v>
      </c>
      <c r="F72" s="3" t="s">
        <v>254</v>
      </c>
      <c r="G72" s="3" t="s">
        <v>251</v>
      </c>
      <c r="H72" s="3" t="s">
        <v>92</v>
      </c>
      <c r="I72" s="3">
        <v>52.183599999999998</v>
      </c>
      <c r="J72" s="3">
        <v>295881</v>
      </c>
      <c r="K72" s="4">
        <v>46090</v>
      </c>
      <c r="L72" s="3">
        <v>4000000</v>
      </c>
      <c r="M72" s="3">
        <v>2087360</v>
      </c>
      <c r="N72" s="3">
        <v>147567360</v>
      </c>
      <c r="O72" s="3" t="s">
        <v>257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52" x14ac:dyDescent="0.3">
      <c r="A73" s="3" t="s">
        <v>77</v>
      </c>
      <c r="B73" s="3" t="s">
        <v>87</v>
      </c>
      <c r="C73" s="3">
        <v>71</v>
      </c>
      <c r="D73" s="3" t="s">
        <v>258</v>
      </c>
      <c r="E73" s="3" t="s">
        <v>249</v>
      </c>
      <c r="F73" s="3" t="s">
        <v>254</v>
      </c>
      <c r="G73" s="3" t="s">
        <v>251</v>
      </c>
      <c r="H73" s="3" t="s">
        <v>92</v>
      </c>
      <c r="I73" s="3">
        <v>34.104799999999997</v>
      </c>
      <c r="J73" s="5">
        <v>193374</v>
      </c>
      <c r="K73" s="4">
        <v>46090</v>
      </c>
      <c r="L73" s="3">
        <v>4000000</v>
      </c>
      <c r="M73" s="3">
        <v>1364200</v>
      </c>
      <c r="N73" s="3">
        <v>46064200</v>
      </c>
      <c r="O73" s="3" t="s">
        <v>259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26" x14ac:dyDescent="0.3">
      <c r="A74" s="3" t="s">
        <v>26</v>
      </c>
      <c r="B74" s="3" t="s">
        <v>260</v>
      </c>
      <c r="C74" s="3">
        <v>72</v>
      </c>
      <c r="D74" s="3" t="s">
        <v>261</v>
      </c>
      <c r="E74" s="3" t="s">
        <v>60</v>
      </c>
      <c r="F74" s="3" t="s">
        <v>262</v>
      </c>
      <c r="G74" s="3" t="s">
        <v>263</v>
      </c>
      <c r="H74" s="3" t="s">
        <v>264</v>
      </c>
      <c r="I74" s="3">
        <v>27.618099999999998</v>
      </c>
      <c r="J74" s="3">
        <v>596550.96</v>
      </c>
      <c r="K74" s="4">
        <v>46091</v>
      </c>
      <c r="L74" s="3">
        <v>4000000</v>
      </c>
      <c r="M74" s="3">
        <v>1104760</v>
      </c>
      <c r="N74" s="3">
        <v>19319760</v>
      </c>
      <c r="O74" s="3" t="s">
        <v>265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26" x14ac:dyDescent="0.3">
      <c r="A75" s="3" t="s">
        <v>77</v>
      </c>
      <c r="B75" s="3" t="s">
        <v>94</v>
      </c>
      <c r="C75" s="3">
        <v>73</v>
      </c>
      <c r="D75" s="3" t="s">
        <v>266</v>
      </c>
      <c r="E75" s="3" t="s">
        <v>267</v>
      </c>
      <c r="F75" s="3" t="s">
        <v>268</v>
      </c>
      <c r="G75" s="3" t="s">
        <v>97</v>
      </c>
      <c r="H75" s="3" t="s">
        <v>98</v>
      </c>
      <c r="I75" s="3">
        <v>43.207999999999998</v>
      </c>
      <c r="J75" s="3">
        <v>262488.59999999998</v>
      </c>
      <c r="K75" s="4">
        <v>46091</v>
      </c>
      <c r="L75" s="3">
        <v>4000000</v>
      </c>
      <c r="M75" s="3">
        <v>1728320</v>
      </c>
      <c r="N75" s="3">
        <v>55133320</v>
      </c>
      <c r="O75" s="3" t="s">
        <v>269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26" x14ac:dyDescent="0.3">
      <c r="A76" s="3" t="s">
        <v>77</v>
      </c>
      <c r="B76" s="3" t="s">
        <v>94</v>
      </c>
      <c r="C76" s="3">
        <v>74</v>
      </c>
      <c r="D76" s="3" t="s">
        <v>270</v>
      </c>
      <c r="E76" s="3" t="s">
        <v>267</v>
      </c>
      <c r="F76" s="3" t="s">
        <v>271</v>
      </c>
      <c r="G76" s="3" t="s">
        <v>97</v>
      </c>
      <c r="H76" s="3" t="s">
        <v>98</v>
      </c>
      <c r="I76" s="3">
        <v>20.041799999999999</v>
      </c>
      <c r="J76" s="3">
        <v>121753.935</v>
      </c>
      <c r="K76" s="4">
        <v>46091</v>
      </c>
      <c r="L76" s="3">
        <v>4000000</v>
      </c>
      <c r="M76" s="3">
        <v>801680</v>
      </c>
      <c r="N76" s="3">
        <v>51656680</v>
      </c>
      <c r="O76" s="3" t="s">
        <v>272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26" x14ac:dyDescent="0.3">
      <c r="A77" s="3" t="s">
        <v>77</v>
      </c>
      <c r="B77" s="3" t="s">
        <v>94</v>
      </c>
      <c r="C77" s="3">
        <v>75</v>
      </c>
      <c r="D77" s="3" t="s">
        <v>273</v>
      </c>
      <c r="E77" s="3" t="s">
        <v>267</v>
      </c>
      <c r="F77" s="3" t="s">
        <v>274</v>
      </c>
      <c r="G77" s="3" t="s">
        <v>97</v>
      </c>
      <c r="H77" s="3" t="s">
        <v>98</v>
      </c>
      <c r="I77" s="3">
        <v>70.410200000000003</v>
      </c>
      <c r="J77" s="3">
        <v>427741.96500000003</v>
      </c>
      <c r="K77" s="4">
        <v>46091</v>
      </c>
      <c r="L77" s="3">
        <v>4000000</v>
      </c>
      <c r="M77" s="3">
        <v>2816440</v>
      </c>
      <c r="N77" s="3">
        <v>130011440</v>
      </c>
      <c r="O77" s="3" t="s">
        <v>275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39" x14ac:dyDescent="0.3">
      <c r="A78" s="3" t="s">
        <v>77</v>
      </c>
      <c r="B78" s="3" t="s">
        <v>94</v>
      </c>
      <c r="C78" s="3">
        <v>76</v>
      </c>
      <c r="D78" s="3" t="s">
        <v>276</v>
      </c>
      <c r="E78" s="3" t="s">
        <v>267</v>
      </c>
      <c r="F78" s="3" t="s">
        <v>277</v>
      </c>
      <c r="G78" s="3" t="s">
        <v>97</v>
      </c>
      <c r="H78" s="3" t="s">
        <v>98</v>
      </c>
      <c r="I78" s="3">
        <v>95.537099999999995</v>
      </c>
      <c r="J78" s="3">
        <v>580387.88249999995</v>
      </c>
      <c r="K78" s="4">
        <v>46094</v>
      </c>
      <c r="L78" s="3">
        <v>4000000</v>
      </c>
      <c r="M78" s="3">
        <v>3821520</v>
      </c>
      <c r="N78" s="3">
        <v>206421520</v>
      </c>
      <c r="O78" s="3" t="s">
        <v>278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26" x14ac:dyDescent="0.3">
      <c r="A79" s="3" t="s">
        <v>77</v>
      </c>
      <c r="B79" s="3" t="s">
        <v>94</v>
      </c>
      <c r="C79" s="3">
        <v>77</v>
      </c>
      <c r="D79" s="3" t="s">
        <v>279</v>
      </c>
      <c r="E79" s="3" t="s">
        <v>280</v>
      </c>
      <c r="F79" s="3" t="s">
        <v>281</v>
      </c>
      <c r="G79" s="3" t="s">
        <v>282</v>
      </c>
      <c r="H79" s="3" t="s">
        <v>98</v>
      </c>
      <c r="I79" s="3">
        <v>34.49</v>
      </c>
      <c r="J79" s="6">
        <v>209526.75</v>
      </c>
      <c r="K79" s="4">
        <v>46092</v>
      </c>
      <c r="L79" s="3">
        <v>4000000</v>
      </c>
      <c r="M79" s="3">
        <v>1379600</v>
      </c>
      <c r="N79" s="3">
        <v>41389600</v>
      </c>
      <c r="O79" s="3" t="s">
        <v>283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26" x14ac:dyDescent="0.3">
      <c r="A80" s="3" t="s">
        <v>44</v>
      </c>
      <c r="B80" s="3" t="s">
        <v>284</v>
      </c>
      <c r="C80" s="3">
        <v>78</v>
      </c>
      <c r="D80" s="3" t="s">
        <v>285</v>
      </c>
      <c r="E80" s="3" t="s">
        <v>286</v>
      </c>
      <c r="F80" s="3" t="s">
        <v>287</v>
      </c>
      <c r="G80" s="3" t="s">
        <v>288</v>
      </c>
      <c r="H80" s="3" t="s">
        <v>289</v>
      </c>
      <c r="I80" s="3">
        <v>10.54</v>
      </c>
      <c r="J80" s="3">
        <v>28512</v>
      </c>
      <c r="K80" s="4">
        <v>46092</v>
      </c>
      <c r="L80" s="3">
        <v>4000000</v>
      </c>
      <c r="M80" s="3">
        <v>421600</v>
      </c>
      <c r="N80" s="3">
        <v>24036600</v>
      </c>
      <c r="O80" s="3" t="s">
        <v>290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26" x14ac:dyDescent="0.3">
      <c r="A81" s="3" t="s">
        <v>44</v>
      </c>
      <c r="B81" s="3" t="s">
        <v>284</v>
      </c>
      <c r="C81" s="3">
        <v>79</v>
      </c>
      <c r="D81" s="3" t="s">
        <v>291</v>
      </c>
      <c r="E81" s="3" t="s">
        <v>286</v>
      </c>
      <c r="F81" s="3" t="s">
        <v>292</v>
      </c>
      <c r="G81" s="3" t="s">
        <v>288</v>
      </c>
      <c r="H81" s="3" t="s">
        <v>289</v>
      </c>
      <c r="I81" s="3">
        <v>12.8767</v>
      </c>
      <c r="J81" s="3">
        <v>34365.31</v>
      </c>
      <c r="K81" s="4">
        <v>46092</v>
      </c>
      <c r="L81" s="3">
        <v>4000000</v>
      </c>
      <c r="M81" s="3">
        <v>515080</v>
      </c>
      <c r="N81" s="3">
        <v>31710080</v>
      </c>
      <c r="O81" s="3" t="s">
        <v>290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x14ac:dyDescent="0.3">
      <c r="I82" s="7">
        <f>SUM(I3:I81)</f>
        <v>4893.3274000000001</v>
      </c>
      <c r="J82" s="7">
        <f t="shared" ref="J82:N82" si="0">SUM(J3:J81)</f>
        <v>81670572.943499982</v>
      </c>
      <c r="K82" s="7"/>
      <c r="L82" s="7">
        <f t="shared" si="0"/>
        <v>316000000</v>
      </c>
      <c r="M82" s="7">
        <f t="shared" si="0"/>
        <v>195734160</v>
      </c>
      <c r="N82" s="7">
        <f t="shared" si="0"/>
        <v>5435759160</v>
      </c>
    </row>
    <row r="83" spans="1:28" x14ac:dyDescent="0.3">
      <c r="I83" s="7"/>
      <c r="J83" s="7"/>
      <c r="K83" s="7"/>
      <c r="L83" s="7"/>
      <c r="M83" s="7"/>
      <c r="N83" s="7"/>
    </row>
    <row r="84" spans="1:28" x14ac:dyDescent="0.3">
      <c r="I84" s="7"/>
      <c r="J84" s="7"/>
      <c r="K84" s="7"/>
      <c r="L84" s="7">
        <f>L82/10000000</f>
        <v>31.6</v>
      </c>
      <c r="M84" s="7">
        <f t="shared" ref="M84:N84" si="1">M82/10000000</f>
        <v>19.573416000000002</v>
      </c>
      <c r="N84" s="7">
        <f t="shared" si="1"/>
        <v>543.57591600000001</v>
      </c>
    </row>
    <row r="85" spans="1:28" x14ac:dyDescent="0.3">
      <c r="I85" s="7"/>
      <c r="J85" s="7"/>
      <c r="K85" s="7"/>
      <c r="L85" s="7" t="s">
        <v>294</v>
      </c>
      <c r="M85" s="7" t="s">
        <v>294</v>
      </c>
      <c r="N85" s="7" t="s">
        <v>294</v>
      </c>
    </row>
  </sheetData>
  <mergeCells count="1">
    <mergeCell ref="A1:O1"/>
  </mergeCells>
  <hyperlinks>
    <hyperlink ref="U3" r:id="rId1" location="/trackYourProposal/proposal-details?proposalId=SIA%2FRJ%2FMIN%2F553931%2F2025&amp;proposal=137417201" xr:uid="{D7A46F29-218F-40A7-BABC-41D88F61C861}"/>
  </hyperlinks>
  <pageMargins left="0.70866141732283472" right="0.70866141732283472" top="0.74803149606299213" bottom="0.74803149606299213" header="0.31496062992125984" footer="0.31496062992125984"/>
  <pageSetup scale="60" fitToHeight="0" orientation="landscape" r:id="rId2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Bajri 2025-26</vt:lpstr>
      <vt:lpstr>'Bajri 2025-26'!Print_Titles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Verma, Vikas - Ext</cp:lastModifiedBy>
  <cp:lastPrinted>2026-04-02T06:36:26Z</cp:lastPrinted>
  <dcterms:created xsi:type="dcterms:W3CDTF">2026-04-02T06:30:11Z</dcterms:created>
  <dcterms:modified xsi:type="dcterms:W3CDTF">2026-04-27T09:32:15Z</dcterms:modified>
</cp:coreProperties>
</file>