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MU\Minor Mineral\2025-26\"/>
    </mc:Choice>
  </mc:AlternateContent>
  <xr:revisionPtr revIDLastSave="0" documentId="13_ncr:1_{D7D52A67-FDEB-4D78-A96C-FFAF37FEA6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L 2025-26" sheetId="1" r:id="rId1"/>
    <sheet name="Summary" sheetId="2" r:id="rId2"/>
  </sheets>
  <definedNames>
    <definedName name="_xlnm._FilterDatabase" localSheetId="0" hidden="1">'QL 2025-26'!$A$3:$AB$102</definedName>
    <definedName name="_xlnm.Print_Titles" localSheetId="0">'QL 2025-26'!$2:$2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V112" i="1"/>
  <c r="M102" i="1"/>
  <c r="M104" i="1" s="1"/>
  <c r="N102" i="1"/>
  <c r="N104" i="1" s="1"/>
  <c r="O102" i="1"/>
  <c r="O104" i="1" s="1"/>
  <c r="J102" i="1"/>
</calcChain>
</file>

<file path=xl/sharedStrings.xml><?xml version="1.0" encoding="utf-8"?>
<sst xmlns="http://schemas.openxmlformats.org/spreadsheetml/2006/main" count="1110" uniqueCount="283">
  <si>
    <t>OFFICE NAME 
(In Eng)</t>
  </si>
  <si>
    <t>Circle Name</t>
  </si>
  <si>
    <t>S.No.</t>
  </si>
  <si>
    <t>कार्यालय का नाम जिसमें खनन प्लॉट स्थित हैं एवं प्लॉट क्रमांकः</t>
  </si>
  <si>
    <t>भूमि का प्रकार</t>
  </si>
  <si>
    <t>राजस्व ग्राम</t>
  </si>
  <si>
    <t>तहसील</t>
  </si>
  <si>
    <t>जिला</t>
  </si>
  <si>
    <t>प्लॉट का क्षेत्रफल (हैक्टेयर में)</t>
  </si>
  <si>
    <t>खनिज बजरी की अनुमत वार्षिक मात्रा</t>
  </si>
  <si>
    <t>E auction date</t>
  </si>
  <si>
    <t>बिड सिक्यूरिटी</t>
  </si>
  <si>
    <t>आरक्षित राशि (रूपयों में)</t>
  </si>
  <si>
    <t>प्राप्त बोली (रूपयों में)</t>
  </si>
  <si>
    <t>उच्चतम बोलीदाता का नाम</t>
  </si>
  <si>
    <t>ME BIJOLIYA</t>
  </si>
  <si>
    <t>SME BHILWARA</t>
  </si>
  <si>
    <t>खनि अभियन्ता, बिजौलियां
प्लॉट क्रमांकः पचानपुरा 7</t>
  </si>
  <si>
    <t>राजकीय बिलानाम भूमि</t>
  </si>
  <si>
    <t>पचानपुरा</t>
  </si>
  <si>
    <t>बिजौलिया</t>
  </si>
  <si>
    <t>भीलवाडा</t>
  </si>
  <si>
    <t>सेण्डस्टोन</t>
  </si>
  <si>
    <t>VIJAY KUMAR SHARMA</t>
  </si>
  <si>
    <t>AME NIMBAHERA</t>
  </si>
  <si>
    <t>सहायक खनि अभियन्ता, निम्बाहेड़ा
प्लॉट क्रमांकः 22</t>
  </si>
  <si>
    <t>महफुज चारागाह खनन हेतु आरक्षित व चारागाह भुमि</t>
  </si>
  <si>
    <t>बिनोता</t>
  </si>
  <si>
    <t>निम्बाहेडा</t>
  </si>
  <si>
    <t>चित्तौडगढ</t>
  </si>
  <si>
    <t>लाइमस्टोन (खण्डा, पट्टी, फर्शी)</t>
  </si>
  <si>
    <t>PARIHAR CONSTRUCTION</t>
  </si>
  <si>
    <t>खनि अभियन्ता, बिजौलियां
प्लॉट क्रमांकः 04</t>
  </si>
  <si>
    <t>तिलिस्वां</t>
  </si>
  <si>
    <t>सैण्ड स्टोन</t>
  </si>
  <si>
    <t>LAD DEVI DHAKAR</t>
  </si>
  <si>
    <t>खनि अभियन्ता, बिजौलियां
प्लॉट क्रमांकः 05</t>
  </si>
  <si>
    <t>Parag Stone Suppliers</t>
  </si>
  <si>
    <t>खनि अभियन्ता, बिजौलियां, 
प्लॉट क्रमांक 01 (सुखपुरा "O")</t>
  </si>
  <si>
    <t>सुखपुरा</t>
  </si>
  <si>
    <t>बिजौलियां</t>
  </si>
  <si>
    <t>भीलवाड़ा</t>
  </si>
  <si>
    <t>SHREE BALAJI STONE</t>
  </si>
  <si>
    <t>खनि अभियन्ता, बिजौलियां, 
प्लॉट क्रमांक 02 (सुखपुरा "O")</t>
  </si>
  <si>
    <t>STONE SHIPPERS LIMITED</t>
  </si>
  <si>
    <t>खनि अभियन्ता, बिजौलियां, 
प्लॉट क्रमांक 03 (सुखपुरा "O")</t>
  </si>
  <si>
    <t>AME BALESAR</t>
  </si>
  <si>
    <t>SME JODHPUR</t>
  </si>
  <si>
    <t>सहायक खनि अभियन्ता, बालेसर, 
प्लॉट क्रमांक 276/2025</t>
  </si>
  <si>
    <t>राजकीय भूमि</t>
  </si>
  <si>
    <t>शिवपुरा</t>
  </si>
  <si>
    <t>शेरगढ़</t>
  </si>
  <si>
    <t>जोधपुर</t>
  </si>
  <si>
    <t>SHRI GURU 
JALANDHARNATH 
HARDWARE AND GENERAL 
STORE</t>
  </si>
  <si>
    <t>सहायक खनि अभियन्ता, बालेसर, 
प्लॉट क्रमांक 277/2025</t>
  </si>
  <si>
    <t>BHAIRU SINGH INDA</t>
  </si>
  <si>
    <t>सहायक खनि अभियन्ता, बालेसर, 
प्लॉट क्रमांक 278/2025</t>
  </si>
  <si>
    <t>MALAM SINGH</t>
  </si>
  <si>
    <t>सहायक खनि अभियन्ता, बालेसर, 
प्लॉट क्रमांक 279/2025</t>
  </si>
  <si>
    <t>PRAKASH CHOUDHARY</t>
  </si>
  <si>
    <t>सहायक खनि अभियन्ता, बालेसर, 
प्लॉट क्रमांक 280/2025</t>
  </si>
  <si>
    <t>Karan Singh Rajpurohit</t>
  </si>
  <si>
    <t>सहायक खनि अभियन्ता, बालेसर, 
प्लॉट क्रमांक 281/2025</t>
  </si>
  <si>
    <t>KARNI KRIPA</t>
  </si>
  <si>
    <t>सहायक खनि अभियन्ता, बालेसर, 
प्लॉट क्रमांक 282/2025</t>
  </si>
  <si>
    <t>VCVN ENTERPRISES</t>
  </si>
  <si>
    <t>सहायक खनि अभियन्ता, बालेसर, 
प्लॉट क्रमांक 283/2025</t>
  </si>
  <si>
    <t>BHOMA RAM</t>
  </si>
  <si>
    <t>सहायक खनि अभियन्ता, बालेसर, 
प्लॉट क्रमांक 284/2025</t>
  </si>
  <si>
    <t>JETHA RAM</t>
  </si>
  <si>
    <t>सहायक खनि अभियन्ता, बालेसर, 
प्लॉट क्रमांक 285/2025</t>
  </si>
  <si>
    <t>KHUSHALA RAM 
SHANKHALA</t>
  </si>
  <si>
    <t>सहायक खनि अभियन्ता, बालेसर, 
प्लॉट क्रमांक 286/2025</t>
  </si>
  <si>
    <t>M/S MA CHAKRESHAWRI 
SAND STONE</t>
  </si>
  <si>
    <t>सहायक खनि अभियन्ता, बालेसर, 
प्लॉट क्रमांक 287/2025</t>
  </si>
  <si>
    <t>GYAN SINGH</t>
  </si>
  <si>
    <t>सहायक खनि अभियन्ता, बालेसर, 
प्लॉट क्रमांक 288/2025</t>
  </si>
  <si>
    <t>NIRANJAN KUMAR MEHRA</t>
  </si>
  <si>
    <t>सहायक खनि अभियन्ता, बालेसर, 
प्लॉट क्रमांक 289/2025</t>
  </si>
  <si>
    <t>सहायक खनि अभियन्ता, बालेसर, 
प्लॉट क्रमांक 290/2025</t>
  </si>
  <si>
    <t>RAJVEER SINGH RATHORE</t>
  </si>
  <si>
    <t>खनि अभियन्ता, बिजौलियां, 
प्लॉट क्रमांक 05 (सुखपुरा "O")</t>
  </si>
  <si>
    <t>SUNIL JAIN</t>
  </si>
  <si>
    <t>खनि अभियन्ता, बिजौलियां, 
प्लॉट क्रमांक 06 (सुखपुरा "O")</t>
  </si>
  <si>
    <t>LAXMI STONE</t>
  </si>
  <si>
    <t>खनि अभियन्ता, बिजौलियां, 
प्लॉट क्रमांक 07 (सुखपुरा "O")</t>
  </si>
  <si>
    <t>CHANDRESH RANKA</t>
  </si>
  <si>
    <t>खनि अभियन्ता, बिजौलियां, 
प्लॉट क्रमांक 08 (सुखपुरा "O")</t>
  </si>
  <si>
    <t>THIRD EYE INFRATECH 
PRIVATE LIMITED</t>
  </si>
  <si>
    <t>खनि अभियन्ता, बिजौलियां, 
प्लॉट क्रमांक 09 (सुखपुरा "O")</t>
  </si>
  <si>
    <t>MANISH LOHIYA</t>
  </si>
  <si>
    <t>खनि अभियन्ता, बिजौलियां, 
प्लॉट क्रमांक 10 (सुखपुरा "O")</t>
  </si>
  <si>
    <t>SUNIL KUMAR DHAKAR</t>
  </si>
  <si>
    <t>खनि अभियन्ता, बिजौलियां, 
प्लॉट क्रमांक 11 (सुखपुरा "O")</t>
  </si>
  <si>
    <t>SHREENATH STONE</t>
  </si>
  <si>
    <t>खनि अभियन्ता, बिजौलियां, 
प्लॉट क्रमांक 12 (सुखपुरा "O")</t>
  </si>
  <si>
    <t>TIRUPATI IMPEX</t>
  </si>
  <si>
    <t>सहायक खनि अभियन्ता, बालेसर, 
प्लॉट क्रमांक 291/2025</t>
  </si>
  <si>
    <t>सहायक खनि अभियन्ता, बालेसर, 
प्लॉट क्रमांक 292/2025</t>
  </si>
  <si>
    <t>KIRAN ENTERPRISES</t>
  </si>
  <si>
    <t>सहायक खनि अभियन्ता, बालेसर, 
प्लॉट क्रमांक 293/2025</t>
  </si>
  <si>
    <t>MAHENDRA SINGH</t>
  </si>
  <si>
    <t>सहायक खनि अभियन्ता, बालेसर, 
प्लॉट क्रमांक 294/2025</t>
  </si>
  <si>
    <t>SHAITAIN SINGH</t>
  </si>
  <si>
    <t>सहायक खनि अभियन्ता, बालेसर, 
प्लॉट क्रमांक 295/2025</t>
  </si>
  <si>
    <t>RAJESH KUMAR RATHI</t>
  </si>
  <si>
    <t>सहायक खनि अभियन्ता, बालेसर, 
प्लॉट क्रमांक 296/2025</t>
  </si>
  <si>
    <t>PRABHU SINGH</t>
  </si>
  <si>
    <t>सहायक खनि अभियन्ता, बालेसर, 
प्लॉट क्रमांक 297/2025</t>
  </si>
  <si>
    <t>SHERA RAM</t>
  </si>
  <si>
    <t>सहायक खनि अभियन्ता, बालेसर, 
प्लॉट क्रमांक 298/2025</t>
  </si>
  <si>
    <t>PUKHA RAM</t>
  </si>
  <si>
    <t>सहायक खनि अभियन्ता, बालेसर, 
प्लॉट क्रमांक 299/2025</t>
  </si>
  <si>
    <t>MEGA RAM</t>
  </si>
  <si>
    <t>सहायक खनि अभियन्ता, बालेसर, 
प्लॉट क्रमांक 300/2025</t>
  </si>
  <si>
    <t>Ma Ashapura Construction 
Company</t>
  </si>
  <si>
    <t>सहायक खनि अभियन्ता, बालेसर, 
प्लॉट क्रमांक 301/2025</t>
  </si>
  <si>
    <t>CHANAN SINGH</t>
  </si>
  <si>
    <t>सहायक खनि अभियन्ता, बालेसर, 
प्लॉट क्रमांक 302/2025</t>
  </si>
  <si>
    <t>HADMANARAM</t>
  </si>
  <si>
    <t>सहायक खनि अभियन्ता, बालेसर, 
प्लॉट क्रमांक 303/2025</t>
  </si>
  <si>
    <t>UMMED SAND STONE</t>
  </si>
  <si>
    <t>सहायक खनि अभियन्ता, बालेसर, 
प्लॉट क्रमांक 304/2025</t>
  </si>
  <si>
    <t>सहायक खनि अभियन्ता, बालेसर, 
प्लॉट क्रमांक 305/2025</t>
  </si>
  <si>
    <t>SOMA RAM</t>
  </si>
  <si>
    <t>सहायक खनि अभियन्ता, बालेसर, 
प्लॉट क्रमांक 306/2025</t>
  </si>
  <si>
    <t>RANVEER SINGH SODHA</t>
  </si>
  <si>
    <t>सहायक खनि अभियन्ता, बालेसर, 
प्लॉट क्रमांक 307/2025</t>
  </si>
  <si>
    <t>KEVAL RAM</t>
  </si>
  <si>
    <t>सहायक खनि अभियन्ता, बालेसर, 
प्लॉट क्रमांक 308/2025</t>
  </si>
  <si>
    <t>सहायक खनि अभियन्ता, बालेसर, 
प्लॉट क्रमांक 309/2025</t>
  </si>
  <si>
    <t>CHANDRA SHEKHAR SONI</t>
  </si>
  <si>
    <t>सहायक खनि अभियन्ता, बालेसर, 
प्लॉट क्रमांक 310/2025</t>
  </si>
  <si>
    <t>JASWANT SINGH</t>
  </si>
  <si>
    <t>सहायक खनि अभियन्ता, बालेसर, 
प्लॉट क्रमांक 311/2025</t>
  </si>
  <si>
    <t>MOOLA RAM</t>
  </si>
  <si>
    <t>सहायक खनि अभियन्ता, बालेसर, 
प्लॉट क्रमांक 312/2025</t>
  </si>
  <si>
    <t>ASHOK GEHLOT</t>
  </si>
  <si>
    <t>सहायक खनि अभियन्ता, बालेसर, 
प्लॉट क्रमांक 313/2025</t>
  </si>
  <si>
    <t>SHRI RAM EMITRA</t>
  </si>
  <si>
    <t>सहायक खनि अभियन्ता, बालेसर, 
प्लॉट क्रमांक 314/2025</t>
  </si>
  <si>
    <t>JAY BHADARIYA RAI SAND 
STONE ART</t>
  </si>
  <si>
    <t>सहायक खनि अभियन्ता, बालेसर, 
प्लॉट क्रमांक 315/2025</t>
  </si>
  <si>
    <t>LUMBA RAM</t>
  </si>
  <si>
    <t>सहायक खनि अभियन्ता, बालेसर, 
प्लॉट क्रमांक 316/2025</t>
  </si>
  <si>
    <t>PRAKASH SANKHLA</t>
  </si>
  <si>
    <t>सहायक खनि अभियन्ता, बालेसर, 
प्लॉट क्रमांक 317/2025</t>
  </si>
  <si>
    <t>BAJRANG SHARMA</t>
  </si>
  <si>
    <t>सहायक खनि अभियन्ता, बालेसर, 
प्लॉट क्रमांक 318/2025</t>
  </si>
  <si>
    <t>JAGDAMBA CONTRACTORS 
AND BUILDERS</t>
  </si>
  <si>
    <t>सहायक खनि अभियन्ता, बालेसर, 
प्लॉट क्रमांक 319/2025</t>
  </si>
  <si>
    <t>PUNJRAJ SINGH</t>
  </si>
  <si>
    <t>सहायक खनि अभियन्ता, बालेसर, 
प्लॉट क्रमांक 320/2025</t>
  </si>
  <si>
    <t>SAWAI SINGH</t>
  </si>
  <si>
    <t>सहायक खनि अभियन्ता, बालेसर, 
प्लॉट क्रमांक 321/2025</t>
  </si>
  <si>
    <t>सहायक खनि अभियन्ता, बालेसर, 
प्लॉट क्रमांक 322/2025</t>
  </si>
  <si>
    <t>JABRA RAM</t>
  </si>
  <si>
    <t>सहायक खनि अभियन्ता, बालेसर, 
प्लॉट क्रमांक 323/2025</t>
  </si>
  <si>
    <t>सहायक खनि अभियन्ता, बालेसर, 
प्लॉट क्रमांक 324/2025</t>
  </si>
  <si>
    <t>सहायक खनि अभियन्ता, बालेसर, 
प्लॉट क्रमांक 325/2025</t>
  </si>
  <si>
    <t>सहायक खनि अभियन्ता, बालेसर, 
प्लॉट क्रमांक 326/2025</t>
  </si>
  <si>
    <t>SWAROOP SINGH</t>
  </si>
  <si>
    <t>खनि अभियन्ता, बिजौलियां प्लॉट क्रमांक 01
(प्री-एम्‍बेडेड क्‍लीयरेन्‍स प्लॉट)</t>
  </si>
  <si>
    <t>राजकीय बिलानाम</t>
  </si>
  <si>
    <t>आरोली</t>
  </si>
  <si>
    <t>RAY SINGH/616186</t>
  </si>
  <si>
    <t>खनि अभियन्ता, बिजौलियां प्लॉट क्रमांक 02
(प्री-एम्‍बेडेड क्‍लीयरेन्‍स प्लॉट)</t>
  </si>
  <si>
    <t>MAHENDAR PAL SINGH/505741</t>
  </si>
  <si>
    <t>खनि अभियन्ता, बिजौलियां प्लॉट क्रमांक 28/2025</t>
  </si>
  <si>
    <t>गैर मु0 मगरी राजकीय बिलानाम</t>
  </si>
  <si>
    <t>बृजपुरा</t>
  </si>
  <si>
    <t>GANESH DHAKER/615646</t>
  </si>
  <si>
    <t>खनि अभियन्ता, बिजौलियां प्लॉट क्रमांक 29/2025</t>
  </si>
  <si>
    <t>PINKOSH KUMAR 
DHAKAR/615624</t>
  </si>
  <si>
    <t>खनि अभियन्ता, बिजौलियां प्लॉट क्रमांक 30/2025</t>
  </si>
  <si>
    <t>AAYUSH DHAKAR/616436</t>
  </si>
  <si>
    <t>खनि अभियन्ता, बिजौलियां प्लॉट क्रमांक 33/2025</t>
  </si>
  <si>
    <t>ANKUR KUMAR DHAKER/616489</t>
  </si>
  <si>
    <t>खनि अभियन्ता, बिजौलियां प्लॉट क्रमांक 34/2025</t>
  </si>
  <si>
    <t>Shree Mehandipur Balaji 
Stone/95944</t>
  </si>
  <si>
    <t>खनि अभियन्ता, बिजौलियां प्लॉट क्रमांक 35/2025</t>
  </si>
  <si>
    <t>SANJAY DHAKER/615818</t>
  </si>
  <si>
    <t>खनि अभियन्ता, बिजौलियां प्लॉट क्रमांक 36/2025</t>
  </si>
  <si>
    <t>MS MOHIT 
ENTERPRISES/147164</t>
  </si>
  <si>
    <t>खनि अभियन्ता, बिजौलियां प्लॉट क्रमांक 37/2025</t>
  </si>
  <si>
    <t>AYUSH IMPEX/305041</t>
  </si>
  <si>
    <t>खनि अभियन्ता, बिजौलियां प्लॉट क्रमांक 38/2025</t>
  </si>
  <si>
    <t>खनि अभियन्ता, बिजौलियां प्लॉट क्रमांक 39/2025</t>
  </si>
  <si>
    <t>rakshans jain/564061</t>
  </si>
  <si>
    <t>खनि अभियन्ता, बिजौलियां प्लॉट क्रमांक 40/2025</t>
  </si>
  <si>
    <t>BALAJI STONE 
SUPPLIERS/615860</t>
  </si>
  <si>
    <t>खनि अभियन्ता, बिजौलियां प्लॉट क्रमांक 03
(प्री-एम्‍बेडेड क्‍लीयरेन्‍स प्लॉट)</t>
  </si>
  <si>
    <t>ANIL KUMAR DHAKER/616456</t>
  </si>
  <si>
    <t>खनि अभियन्ता, बिजौलियां प्लॉट क्रमांक 04
(प्री-एम्‍बेडेड क्‍लीयरेन्‍स प्लॉट)</t>
  </si>
  <si>
    <t>BABLU KUMAR DHAKER/616340</t>
  </si>
  <si>
    <t>खनि अभियन्ता, बिजौलियां प्लॉट क्रमांक 05
(प्री-एम्‍बेडेड क्‍लीयरेन्‍स प्लॉट)</t>
  </si>
  <si>
    <t>ANAYA ENTERPRISES/561151</t>
  </si>
  <si>
    <t>खनि अभियन्ता, बिजौलियां प्लॉट क्रमांक 41/2025</t>
  </si>
  <si>
    <t>ISHIKA TRADERS/121198</t>
  </si>
  <si>
    <t>खनि अभियन्ता, बिजौलियां प्लॉट क्रमांक 42/2025</t>
  </si>
  <si>
    <t>KANCHAN DEVI/616328</t>
  </si>
  <si>
    <t>खनि अभियन्ता, बिजौलियां प्लॉट क्रमांक 43/2025</t>
  </si>
  <si>
    <t>STONE HUB/616174</t>
  </si>
  <si>
    <t>खनि अभियन्ता, बिजौलियां प्लॉट क्रमांक 44/2025</t>
  </si>
  <si>
    <t>BHOLENATH 
EARTHMOVERS/616384</t>
  </si>
  <si>
    <t>खनि अभियन्ता, बिजौलियां प्लॉट क्रमांक 45/2025</t>
  </si>
  <si>
    <t>MAHADEV STONE 
SUPPLIERS/85426</t>
  </si>
  <si>
    <t>खनि अभियन्ता, बिजौलियां प्लॉट क्रमांक 46/2025</t>
  </si>
  <si>
    <t>KAILASH CHAND DHAKAD/92098</t>
  </si>
  <si>
    <t>खनि अभियन्ता, बिजौलियां प्लॉट क्रमांक 47/2025</t>
  </si>
  <si>
    <t>RAVINDRA KUMAR 
DHAKER/615815</t>
  </si>
  <si>
    <t>खनि अभियन्ता, बिजौलियां प्लॉट क्रमांक 48/2025</t>
  </si>
  <si>
    <t>NILESH TRADERS/615806</t>
  </si>
  <si>
    <t>खनि अभियन्ता, बिजौलियां प्लॉट क्रमांक 49/2025</t>
  </si>
  <si>
    <t>DHAKAR 
CONSTRUCTION/616177</t>
  </si>
  <si>
    <t>खनि अभियन्ता, बिजौलियां प्लॉट क्रमांक 50/2025</t>
  </si>
  <si>
    <t>Bherunath Stone/555629</t>
  </si>
  <si>
    <t>सहायक खनि अभियन्ता, निम्बाहेड़ा
प्लॉट क्रमांकः 23</t>
  </si>
  <si>
    <t>PARIHAR 
CONSTRUCTION/589772</t>
  </si>
  <si>
    <t>सहायक खनि अभियन्ता, निम्बाहेड़ा
प्लॉट क्रमांकः 24</t>
  </si>
  <si>
    <t>सहायक खनि अभियन्ता, निम्बाहेड़ा
प्लॉट क्रमांकः 25</t>
  </si>
  <si>
    <t>खनि अभियन्ता, बिजौलियां
प्लॉट क्रमांकः पचानपुरा 6</t>
  </si>
  <si>
    <t>KRISHNA ENTERPRISES/96249</t>
  </si>
  <si>
    <t>खनि अभियन्ता, बिजौलियां
प्लॉट क्रमांकः पचानपुरा 8</t>
  </si>
  <si>
    <t>खनि अभियन्ता, बिजौलियां
प्लॉट क्रमांकः पचानपुरा 15</t>
  </si>
  <si>
    <t>THINKWISDOM/616225</t>
  </si>
  <si>
    <t>List of QL (2025-26)</t>
  </si>
  <si>
    <t>Cr.</t>
  </si>
  <si>
    <t>LoI</t>
  </si>
  <si>
    <t>Mine plan approval</t>
  </si>
  <si>
    <t>ToR application date</t>
  </si>
  <si>
    <t>Parivesh proposal no.</t>
  </si>
  <si>
    <t>ToR Grant Date</t>
  </si>
  <si>
    <t>Date of Public Hearing</t>
  </si>
  <si>
    <t>EC application Date</t>
  </si>
  <si>
    <t>EC Grant Date</t>
  </si>
  <si>
    <t>Category</t>
  </si>
  <si>
    <t>B1</t>
  </si>
  <si>
    <t>SIA/RJ/MIN/560064/2025</t>
  </si>
  <si>
    <t>Remarks</t>
  </si>
  <si>
    <t>Delisted by system on 01-01-2026 due to EDS non-reply raised on 01-12-2025</t>
  </si>
  <si>
    <t>SIA/RJ/MIN/571587/2026</t>
  </si>
  <si>
    <t>EDS Raised on 09-03-2026</t>
  </si>
  <si>
    <t>B2</t>
  </si>
  <si>
    <t>SIA/RJ/MIN/560063/2025</t>
  </si>
  <si>
    <t>Delisted by system</t>
  </si>
  <si>
    <t>SIA/RJ/MIN/560030/2026</t>
  </si>
  <si>
    <t>EDS Raised</t>
  </si>
  <si>
    <t>SIA/RJ/MIN/566768/2026</t>
  </si>
  <si>
    <t>SIA/RJ/MIN/560076/2026</t>
  </si>
  <si>
    <t>SIA/RJ/MIN/560748/2026</t>
  </si>
  <si>
    <t>Standard ToR Granted</t>
  </si>
  <si>
    <t>SIA/RJ/MIN/570848/2026</t>
  </si>
  <si>
    <t>SIA/RJ/MIN/560039/2025</t>
  </si>
  <si>
    <t>SIA/RJ/MIN/566910/2026</t>
  </si>
  <si>
    <t>SIA/RJ/MIN/544318/2025</t>
  </si>
  <si>
    <t>SIA/RJ/MIN/544216/2025</t>
  </si>
  <si>
    <t>SIA/RJ/MIN/544300/2025</t>
  </si>
  <si>
    <t>SIA/RJ/MIN/544314/2025</t>
  </si>
  <si>
    <t>RSMET</t>
  </si>
  <si>
    <t>SIA/RJ/MIN/544158/2025</t>
  </si>
  <si>
    <t>SIA/RJ/MIN/570529/2026</t>
  </si>
  <si>
    <t>Standard ToR granted</t>
  </si>
  <si>
    <t>SIA/RJ/MIN/564888/2026</t>
  </si>
  <si>
    <t>Status</t>
  </si>
  <si>
    <t>Proposal accepted and referred to SEAC</t>
  </si>
  <si>
    <t>SIA/RJ/MIN/569871/2026</t>
  </si>
  <si>
    <t>SIA/RJ/MIN/568532/2026</t>
  </si>
  <si>
    <t>Delisted by System</t>
  </si>
  <si>
    <t>SIA/RJ/MIN/565083/2026</t>
  </si>
  <si>
    <t>SIA/RJ/MIN/565184/2026</t>
  </si>
  <si>
    <t>SIA/RJ/MIN/565400/2026</t>
  </si>
  <si>
    <t>SIA/RJ/MIN/568508/2026</t>
  </si>
  <si>
    <t>SIA/RJ/MIN/568368/2026</t>
  </si>
  <si>
    <t>SIA/RJ/MIN/568756/2026</t>
  </si>
  <si>
    <t>SIA/RJ/MIN/565732/2026</t>
  </si>
  <si>
    <t>SIA/RJ/MIN/568349/2026</t>
  </si>
  <si>
    <t>ToR Applied</t>
  </si>
  <si>
    <t>ToR Granted</t>
  </si>
  <si>
    <t>EC Applied (B2)</t>
  </si>
  <si>
    <t>EC Granted (Pre-Emb)</t>
  </si>
  <si>
    <t>Total</t>
  </si>
  <si>
    <t>EC Process Not Initated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</si>
</sst>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0" fontId="5" fillId="3" borderId="1" xfId="1" applyFill="1" applyBorder="1" applyAlignment="1">
      <alignment vertical="top"/>
    </xf>
    <xf numFmtId="0" fontId="5" fillId="3" borderId="1" xfId="1" applyFill="1" applyBorder="1" applyAlignment="1">
      <alignment horizontal="center" vertical="center" wrapText="1"/>
    </xf>
    <xf numFmtId="0" fontId="5" fillId="3" borderId="1" xfId="1" applyFill="1" applyBorder="1" applyAlignment="1">
      <alignment vertical="center"/>
    </xf>
    <xf numFmtId="0" fontId="5" fillId="3" borderId="1" xfId="1" applyFill="1" applyBorder="1" applyAlignment="1">
      <alignment vertical="center" wrapText="1"/>
    </xf>
    <xf numFmtId="0" fontId="5" fillId="0" borderId="1" xfId="1" applyBorder="1"/>
    <xf numFmtId="0" fontId="5" fillId="4" borderId="1" xfId="1" applyFill="1" applyBorder="1"/>
    <xf numFmtId="0" fontId="5" fillId="4" borderId="1" xfId="1" applyFill="1" applyBorder="1" applyAlignment="1">
      <alignment vertical="center" wrapText="1"/>
    </xf>
    <xf numFmtId="0" fontId="5" fillId="3" borderId="1" xfId="1" applyFill="1" applyBorder="1"/>
    <xf numFmtId="0" fontId="5" fillId="0" borderId="1" xfId="1" applyFill="1" applyBorder="1" applyAlignment="1">
      <alignment vertical="center" wrapText="1"/>
    </xf>
    <xf numFmtId="0" fontId="5" fillId="5" borderId="1" xfId="1" applyFill="1" applyBorder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ivesh.nic.in/newupgrade/" TargetMode="External"/><Relationship Id="rId13" Type="http://schemas.openxmlformats.org/officeDocument/2006/relationships/hyperlink" Target="https://parivesh.nic.in/newupgrade/" TargetMode="External"/><Relationship Id="rId18" Type="http://schemas.openxmlformats.org/officeDocument/2006/relationships/hyperlink" Target="https://parivesh.nic.in/newupgrade/" TargetMode="External"/><Relationship Id="rId26" Type="http://schemas.openxmlformats.org/officeDocument/2006/relationships/hyperlink" Target="https://parivesh.nic.in/newupgrade/" TargetMode="External"/><Relationship Id="rId3" Type="http://schemas.openxmlformats.org/officeDocument/2006/relationships/hyperlink" Target="https://parivesh.nic.in/newupgrade/" TargetMode="External"/><Relationship Id="rId21" Type="http://schemas.openxmlformats.org/officeDocument/2006/relationships/hyperlink" Target="https://parivesh.nic.in/newupgrade/" TargetMode="External"/><Relationship Id="rId7" Type="http://schemas.openxmlformats.org/officeDocument/2006/relationships/hyperlink" Target="https://parivesh.nic.in/newupgrade/" TargetMode="External"/><Relationship Id="rId12" Type="http://schemas.openxmlformats.org/officeDocument/2006/relationships/hyperlink" Target="https://parivesh.nic.in/newupgrade/" TargetMode="External"/><Relationship Id="rId17" Type="http://schemas.openxmlformats.org/officeDocument/2006/relationships/hyperlink" Target="https://parivesh.nic.in/newupgrade/" TargetMode="External"/><Relationship Id="rId25" Type="http://schemas.openxmlformats.org/officeDocument/2006/relationships/hyperlink" Target="https://parivesh.nic.in/newupgrade/" TargetMode="External"/><Relationship Id="rId2" Type="http://schemas.openxmlformats.org/officeDocument/2006/relationships/hyperlink" Target="https://parivesh.nic.in/newupgrade/" TargetMode="External"/><Relationship Id="rId16" Type="http://schemas.openxmlformats.org/officeDocument/2006/relationships/hyperlink" Target="https://parivesh.nic.in/newupgrade/" TargetMode="External"/><Relationship Id="rId20" Type="http://schemas.openxmlformats.org/officeDocument/2006/relationships/hyperlink" Target="https://parivesh.nic.in/newupgrade/" TargetMode="External"/><Relationship Id="rId1" Type="http://schemas.openxmlformats.org/officeDocument/2006/relationships/hyperlink" Target="https://parivesh.nic.in/newupgrade/" TargetMode="External"/><Relationship Id="rId6" Type="http://schemas.openxmlformats.org/officeDocument/2006/relationships/hyperlink" Target="https://parivesh.nic.in/newupgrade/" TargetMode="External"/><Relationship Id="rId11" Type="http://schemas.openxmlformats.org/officeDocument/2006/relationships/hyperlink" Target="https://parivesh.nic.in/newupgrade/" TargetMode="External"/><Relationship Id="rId24" Type="http://schemas.openxmlformats.org/officeDocument/2006/relationships/hyperlink" Target="https://parivesh.nic.in/newupgrade/" TargetMode="External"/><Relationship Id="rId5" Type="http://schemas.openxmlformats.org/officeDocument/2006/relationships/hyperlink" Target="https://parivesh.nic.in/newupgrade/" TargetMode="External"/><Relationship Id="rId15" Type="http://schemas.openxmlformats.org/officeDocument/2006/relationships/hyperlink" Target="https://parivesh.nic.in/newupgrade/" TargetMode="External"/><Relationship Id="rId23" Type="http://schemas.openxmlformats.org/officeDocument/2006/relationships/hyperlink" Target="https://parivesh.nic.in/newupgrade/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parivesh.nic.in/newupgrade/" TargetMode="External"/><Relationship Id="rId19" Type="http://schemas.openxmlformats.org/officeDocument/2006/relationships/hyperlink" Target="https://parivesh.nic.in/newupgrade/" TargetMode="External"/><Relationship Id="rId4" Type="http://schemas.openxmlformats.org/officeDocument/2006/relationships/hyperlink" Target="https://parivesh.nic.in/newupgrade/" TargetMode="External"/><Relationship Id="rId9" Type="http://schemas.openxmlformats.org/officeDocument/2006/relationships/hyperlink" Target="https://parivesh.nic.in/newupgrade/" TargetMode="External"/><Relationship Id="rId14" Type="http://schemas.openxmlformats.org/officeDocument/2006/relationships/hyperlink" Target="https://parivesh.nic.in/newupgrade/" TargetMode="External"/><Relationship Id="rId22" Type="http://schemas.openxmlformats.org/officeDocument/2006/relationships/hyperlink" Target="https://parivesh.nic.in/newupgrade/" TargetMode="External"/><Relationship Id="rId27" Type="http://schemas.openxmlformats.org/officeDocument/2006/relationships/hyperlink" Target="https://parivesh.nic.in/newupgra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12"/>
  <sheetViews>
    <sheetView tabSelected="1" workbookViewId="0">
      <pane xSplit="1" ySplit="3" topLeftCell="R38" activePane="bottomRight" state="frozen"/>
      <selection pane="topRight" activeCell="B1" sqref="B1"/>
      <selection pane="bottomLeft" activeCell="A4" sqref="A4"/>
      <selection pane="bottomRight" activeCell="Z110" sqref="Z110"/>
    </sheetView>
  </sheetViews>
  <sheetFormatPr defaultColWidth="9.1796875" defaultRowHeight="13" x14ac:dyDescent="0.35"/>
  <cols>
    <col min="1" max="1" width="12.81640625" style="1" customWidth="1"/>
    <col min="2" max="2" width="12.26953125" style="1" customWidth="1"/>
    <col min="3" max="3" width="9.1796875" style="1"/>
    <col min="4" max="4" width="5" style="1" bestFit="1" customWidth="1"/>
    <col min="5" max="5" width="24.26953125" style="1" customWidth="1"/>
    <col min="6" max="6" width="20.26953125" style="1" customWidth="1"/>
    <col min="7" max="9" width="9.1796875" style="1"/>
    <col min="10" max="10" width="9.26953125" style="1" bestFit="1" customWidth="1"/>
    <col min="11" max="11" width="14" style="1" customWidth="1"/>
    <col min="12" max="12" width="12" style="1" bestFit="1" customWidth="1"/>
    <col min="13" max="13" width="10" style="1" bestFit="1" customWidth="1"/>
    <col min="14" max="14" width="9" style="1" bestFit="1" customWidth="1"/>
    <col min="15" max="15" width="11" style="1" bestFit="1" customWidth="1"/>
    <col min="16" max="17" width="16.54296875" style="1" customWidth="1"/>
    <col min="18" max="20" width="9.1796875" style="1"/>
    <col min="21" max="21" width="22.26953125" style="1" bestFit="1" customWidth="1"/>
    <col min="22" max="22" width="9.1796875" style="1"/>
    <col min="23" max="23" width="21.1796875" style="1" customWidth="1"/>
    <col min="24" max="25" width="9.1796875" style="1"/>
    <col min="26" max="26" width="22.90625" style="1" customWidth="1"/>
    <col min="27" max="27" width="12.26953125" style="1" customWidth="1"/>
    <col min="28" max="28" width="13.36328125" style="1" customWidth="1"/>
    <col min="29" max="16384" width="9.1796875" style="1"/>
  </cols>
  <sheetData>
    <row r="1" spans="1:28" ht="20.25" customHeight="1" x14ac:dyDescent="0.35">
      <c r="A1" s="28" t="s">
        <v>226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7"/>
    </row>
    <row r="2" spans="1:28" ht="39" x14ac:dyDescent="0.35">
      <c r="A2" s="3" t="s">
        <v>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8" t="s">
        <v>236</v>
      </c>
      <c r="R2" s="8" t="s">
        <v>228</v>
      </c>
      <c r="S2" s="8" t="s">
        <v>229</v>
      </c>
      <c r="T2" s="8" t="s">
        <v>230</v>
      </c>
      <c r="U2" s="8" t="s">
        <v>231</v>
      </c>
      <c r="V2" s="8" t="s">
        <v>232</v>
      </c>
      <c r="W2" s="8" t="s">
        <v>239</v>
      </c>
      <c r="X2" s="8" t="s">
        <v>233</v>
      </c>
      <c r="Y2" s="8" t="s">
        <v>234</v>
      </c>
      <c r="Z2" s="8" t="s">
        <v>231</v>
      </c>
      <c r="AA2" s="8" t="s">
        <v>235</v>
      </c>
      <c r="AB2" s="8" t="s">
        <v>264</v>
      </c>
    </row>
    <row r="3" spans="1:28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8"/>
    </row>
    <row r="4" spans="1:28" s="2" customFormat="1" ht="26" x14ac:dyDescent="0.35">
      <c r="A4" s="4" t="s">
        <v>16</v>
      </c>
      <c r="B4" s="4" t="s">
        <v>15</v>
      </c>
      <c r="C4" s="4" t="s">
        <v>16</v>
      </c>
      <c r="D4" s="4">
        <v>1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>
        <v>1</v>
      </c>
      <c r="K4" s="4" t="s">
        <v>22</v>
      </c>
      <c r="L4" s="5">
        <v>45911</v>
      </c>
      <c r="M4" s="4">
        <v>1000000</v>
      </c>
      <c r="N4" s="4">
        <v>580800</v>
      </c>
      <c r="O4" s="4">
        <v>643880</v>
      </c>
      <c r="P4" s="4" t="s">
        <v>23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s="2" customFormat="1" ht="39" x14ac:dyDescent="0.35">
      <c r="A5" s="12" t="s">
        <v>16</v>
      </c>
      <c r="B5" s="4" t="s">
        <v>24</v>
      </c>
      <c r="C5" s="4" t="s">
        <v>16</v>
      </c>
      <c r="D5" s="4">
        <v>2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>
        <v>1.08</v>
      </c>
      <c r="K5" s="4" t="s">
        <v>30</v>
      </c>
      <c r="L5" s="5">
        <v>45924</v>
      </c>
      <c r="M5" s="4">
        <v>1500000</v>
      </c>
      <c r="N5" s="4">
        <v>345750</v>
      </c>
      <c r="O5" s="4">
        <v>350750</v>
      </c>
      <c r="P5" s="4" t="s">
        <v>31</v>
      </c>
      <c r="Q5" s="4" t="s">
        <v>237</v>
      </c>
      <c r="R5" s="4"/>
      <c r="S5" s="4"/>
      <c r="T5" s="5">
        <v>46104</v>
      </c>
      <c r="U5" s="19" t="s">
        <v>261</v>
      </c>
      <c r="V5" s="5">
        <v>46105</v>
      </c>
      <c r="W5" s="4" t="s">
        <v>262</v>
      </c>
      <c r="X5" s="4"/>
      <c r="Y5" s="4"/>
      <c r="Z5" s="4"/>
      <c r="AA5" s="4"/>
      <c r="AB5" s="4"/>
    </row>
    <row r="6" spans="1:28" s="2" customFormat="1" ht="26" x14ac:dyDescent="0.35">
      <c r="A6" s="4" t="s">
        <v>16</v>
      </c>
      <c r="B6" s="4" t="s">
        <v>15</v>
      </c>
      <c r="C6" s="4" t="s">
        <v>16</v>
      </c>
      <c r="D6" s="4">
        <v>3</v>
      </c>
      <c r="E6" s="4" t="s">
        <v>32</v>
      </c>
      <c r="F6" s="4" t="s">
        <v>18</v>
      </c>
      <c r="G6" s="4" t="s">
        <v>33</v>
      </c>
      <c r="H6" s="4" t="s">
        <v>20</v>
      </c>
      <c r="I6" s="4" t="s">
        <v>21</v>
      </c>
      <c r="J6" s="4">
        <v>1.0548999999999999</v>
      </c>
      <c r="K6" s="4" t="s">
        <v>34</v>
      </c>
      <c r="L6" s="5">
        <v>45925</v>
      </c>
      <c r="M6" s="4">
        <v>1500000</v>
      </c>
      <c r="N6" s="4">
        <v>45734</v>
      </c>
      <c r="O6" s="4">
        <v>1213955</v>
      </c>
      <c r="P6" s="4" t="s">
        <v>35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2" customFormat="1" ht="26" x14ac:dyDescent="0.35">
      <c r="A7" s="12" t="s">
        <v>16</v>
      </c>
      <c r="B7" s="4" t="s">
        <v>15</v>
      </c>
      <c r="C7" s="4" t="s">
        <v>16</v>
      </c>
      <c r="D7" s="4">
        <v>4</v>
      </c>
      <c r="E7" s="4" t="s">
        <v>36</v>
      </c>
      <c r="F7" s="4" t="s">
        <v>18</v>
      </c>
      <c r="G7" s="4" t="s">
        <v>33</v>
      </c>
      <c r="H7" s="4" t="s">
        <v>20</v>
      </c>
      <c r="I7" s="4" t="s">
        <v>21</v>
      </c>
      <c r="J7" s="4">
        <v>1.4928999999999999</v>
      </c>
      <c r="K7" s="4" t="s">
        <v>34</v>
      </c>
      <c r="L7" s="5">
        <v>45925</v>
      </c>
      <c r="M7" s="4">
        <v>1500000</v>
      </c>
      <c r="N7" s="4">
        <v>45734</v>
      </c>
      <c r="O7" s="4">
        <v>11078785</v>
      </c>
      <c r="P7" s="4" t="s">
        <v>37</v>
      </c>
      <c r="Q7" s="4" t="s">
        <v>237</v>
      </c>
      <c r="R7" s="5">
        <v>45944</v>
      </c>
      <c r="S7" s="4"/>
      <c r="T7" s="5">
        <v>46088</v>
      </c>
      <c r="U7" s="20" t="s">
        <v>241</v>
      </c>
      <c r="V7" s="4"/>
      <c r="W7" s="4" t="s">
        <v>242</v>
      </c>
      <c r="X7" s="4"/>
      <c r="Y7" s="4"/>
      <c r="Z7" s="4"/>
      <c r="AA7" s="4"/>
      <c r="AB7" s="4"/>
    </row>
    <row r="8" spans="1:28" s="2" customFormat="1" ht="26" x14ac:dyDescent="0.35">
      <c r="A8" s="12" t="s">
        <v>16</v>
      </c>
      <c r="B8" s="4" t="s">
        <v>15</v>
      </c>
      <c r="C8" s="4" t="s">
        <v>16</v>
      </c>
      <c r="D8" s="4">
        <v>5</v>
      </c>
      <c r="E8" s="4" t="s">
        <v>38</v>
      </c>
      <c r="F8" s="4" t="s">
        <v>18</v>
      </c>
      <c r="G8" s="4" t="s">
        <v>39</v>
      </c>
      <c r="H8" s="4" t="s">
        <v>40</v>
      </c>
      <c r="I8" s="4" t="s">
        <v>41</v>
      </c>
      <c r="J8" s="4">
        <v>1.1264000000000001</v>
      </c>
      <c r="K8" s="4" t="s">
        <v>22</v>
      </c>
      <c r="L8" s="5">
        <v>45926</v>
      </c>
      <c r="M8" s="4">
        <v>1500000</v>
      </c>
      <c r="N8" s="4">
        <v>654562</v>
      </c>
      <c r="O8" s="4">
        <v>37634635</v>
      </c>
      <c r="P8" s="4" t="s">
        <v>42</v>
      </c>
      <c r="Q8" s="4" t="s">
        <v>237</v>
      </c>
      <c r="R8" s="4"/>
      <c r="S8" s="4"/>
      <c r="T8" s="5">
        <v>45990</v>
      </c>
      <c r="U8" s="21" t="s">
        <v>244</v>
      </c>
      <c r="V8" s="4"/>
      <c r="W8" s="4" t="s">
        <v>245</v>
      </c>
      <c r="X8" s="4"/>
      <c r="Y8" s="4"/>
      <c r="Z8" s="4"/>
      <c r="AA8" s="4"/>
      <c r="AB8" s="4"/>
    </row>
    <row r="9" spans="1:28" s="2" customFormat="1" ht="26" x14ac:dyDescent="0.35">
      <c r="A9" s="4" t="s">
        <v>16</v>
      </c>
      <c r="B9" s="4" t="s">
        <v>15</v>
      </c>
      <c r="C9" s="4" t="s">
        <v>16</v>
      </c>
      <c r="D9" s="4">
        <v>6</v>
      </c>
      <c r="E9" s="4" t="s">
        <v>43</v>
      </c>
      <c r="F9" s="4" t="s">
        <v>18</v>
      </c>
      <c r="G9" s="4" t="s">
        <v>39</v>
      </c>
      <c r="H9" s="4" t="s">
        <v>40</v>
      </c>
      <c r="I9" s="4" t="s">
        <v>41</v>
      </c>
      <c r="J9" s="4">
        <v>1.0568</v>
      </c>
      <c r="K9" s="4" t="s">
        <v>22</v>
      </c>
      <c r="L9" s="5">
        <v>45926</v>
      </c>
      <c r="M9" s="4">
        <v>1500000</v>
      </c>
      <c r="N9" s="4">
        <v>613906</v>
      </c>
      <c r="O9" s="4">
        <v>30025170</v>
      </c>
      <c r="P9" s="4" t="s">
        <v>44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s="2" customFormat="1" ht="26" x14ac:dyDescent="0.35">
      <c r="A10" s="4" t="s">
        <v>16</v>
      </c>
      <c r="B10" s="4" t="s">
        <v>15</v>
      </c>
      <c r="C10" s="4" t="s">
        <v>16</v>
      </c>
      <c r="D10" s="4">
        <v>7</v>
      </c>
      <c r="E10" s="4" t="s">
        <v>45</v>
      </c>
      <c r="F10" s="4" t="s">
        <v>18</v>
      </c>
      <c r="G10" s="4" t="s">
        <v>39</v>
      </c>
      <c r="H10" s="4" t="s">
        <v>40</v>
      </c>
      <c r="I10" s="4" t="s">
        <v>41</v>
      </c>
      <c r="J10" s="4">
        <v>1.2401</v>
      </c>
      <c r="K10" s="4" t="s">
        <v>22</v>
      </c>
      <c r="L10" s="5">
        <v>45926</v>
      </c>
      <c r="M10" s="4">
        <v>1500000</v>
      </c>
      <c r="N10" s="4">
        <v>720773</v>
      </c>
      <c r="O10" s="4">
        <v>23017280</v>
      </c>
      <c r="P10" s="4" t="s">
        <v>44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s="2" customFormat="1" ht="65" x14ac:dyDescent="0.35">
      <c r="A11" s="12" t="s">
        <v>47</v>
      </c>
      <c r="B11" s="4" t="s">
        <v>46</v>
      </c>
      <c r="C11" s="4" t="s">
        <v>47</v>
      </c>
      <c r="D11" s="4">
        <v>8</v>
      </c>
      <c r="E11" s="4" t="s">
        <v>48</v>
      </c>
      <c r="F11" s="4" t="s">
        <v>49</v>
      </c>
      <c r="G11" s="4" t="s">
        <v>50</v>
      </c>
      <c r="H11" s="4" t="s">
        <v>51</v>
      </c>
      <c r="I11" s="4" t="s">
        <v>52</v>
      </c>
      <c r="J11" s="4">
        <v>2.65</v>
      </c>
      <c r="K11" s="4" t="s">
        <v>22</v>
      </c>
      <c r="L11" s="5">
        <v>45926</v>
      </c>
      <c r="M11" s="4">
        <v>2500000</v>
      </c>
      <c r="N11" s="4">
        <v>880065</v>
      </c>
      <c r="O11" s="4">
        <v>1235065</v>
      </c>
      <c r="P11" s="4" t="s">
        <v>53</v>
      </c>
      <c r="Q11" s="4" t="s">
        <v>243</v>
      </c>
      <c r="R11" s="4"/>
      <c r="S11" s="4"/>
      <c r="T11" s="4"/>
      <c r="U11" s="4"/>
      <c r="V11" s="4"/>
      <c r="W11" s="4"/>
      <c r="X11" s="4"/>
      <c r="Y11" s="5">
        <v>46064</v>
      </c>
      <c r="Z11" s="19" t="s">
        <v>263</v>
      </c>
      <c r="AA11" s="4"/>
      <c r="AB11" s="4" t="s">
        <v>265</v>
      </c>
    </row>
    <row r="12" spans="1:28" s="2" customFormat="1" ht="26" x14ac:dyDescent="0.35">
      <c r="A12" s="4" t="s">
        <v>47</v>
      </c>
      <c r="B12" s="4" t="s">
        <v>46</v>
      </c>
      <c r="C12" s="4" t="s">
        <v>47</v>
      </c>
      <c r="D12" s="4">
        <v>9</v>
      </c>
      <c r="E12" s="4" t="s">
        <v>54</v>
      </c>
      <c r="F12" s="4" t="s">
        <v>49</v>
      </c>
      <c r="G12" s="4" t="s">
        <v>50</v>
      </c>
      <c r="H12" s="4" t="s">
        <v>51</v>
      </c>
      <c r="I12" s="4" t="s">
        <v>52</v>
      </c>
      <c r="J12" s="4">
        <v>2</v>
      </c>
      <c r="K12" s="4" t="s">
        <v>22</v>
      </c>
      <c r="L12" s="5">
        <v>45937</v>
      </c>
      <c r="M12" s="4">
        <v>1500000</v>
      </c>
      <c r="N12" s="4">
        <v>664200</v>
      </c>
      <c r="O12" s="4">
        <v>6624200</v>
      </c>
      <c r="P12" s="4" t="s">
        <v>55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s="2" customFormat="1" ht="26" x14ac:dyDescent="0.35">
      <c r="A13" s="12" t="s">
        <v>47</v>
      </c>
      <c r="B13" s="4" t="s">
        <v>46</v>
      </c>
      <c r="C13" s="4" t="s">
        <v>47</v>
      </c>
      <c r="D13" s="4">
        <v>10</v>
      </c>
      <c r="E13" s="4" t="s">
        <v>56</v>
      </c>
      <c r="F13" s="4" t="s">
        <v>49</v>
      </c>
      <c r="G13" s="4" t="s">
        <v>50</v>
      </c>
      <c r="H13" s="4" t="s">
        <v>51</v>
      </c>
      <c r="I13" s="4" t="s">
        <v>52</v>
      </c>
      <c r="J13" s="4">
        <v>2.1</v>
      </c>
      <c r="K13" s="4" t="s">
        <v>22</v>
      </c>
      <c r="L13" s="5">
        <v>45937</v>
      </c>
      <c r="M13" s="4">
        <v>2500000</v>
      </c>
      <c r="N13" s="4">
        <v>697410</v>
      </c>
      <c r="O13" s="4">
        <v>10002410</v>
      </c>
      <c r="P13" s="4" t="s">
        <v>57</v>
      </c>
      <c r="Q13" s="4" t="s">
        <v>237</v>
      </c>
      <c r="R13" s="4"/>
      <c r="S13" s="4"/>
      <c r="T13" s="5">
        <v>46081</v>
      </c>
      <c r="U13" s="19" t="s">
        <v>266</v>
      </c>
      <c r="V13" s="5">
        <v>46091</v>
      </c>
      <c r="W13" s="4" t="s">
        <v>262</v>
      </c>
      <c r="X13" s="4"/>
      <c r="Y13" s="4"/>
      <c r="Z13" s="4"/>
      <c r="AA13" s="4"/>
      <c r="AB13" s="4"/>
    </row>
    <row r="14" spans="1:28" s="11" customFormat="1" ht="26" x14ac:dyDescent="0.35">
      <c r="A14" s="12" t="s">
        <v>47</v>
      </c>
      <c r="B14" s="9" t="s">
        <v>46</v>
      </c>
      <c r="C14" s="9" t="s">
        <v>47</v>
      </c>
      <c r="D14" s="9">
        <v>11</v>
      </c>
      <c r="E14" s="9" t="s">
        <v>58</v>
      </c>
      <c r="F14" s="9" t="s">
        <v>49</v>
      </c>
      <c r="G14" s="9" t="s">
        <v>50</v>
      </c>
      <c r="H14" s="9" t="s">
        <v>51</v>
      </c>
      <c r="I14" s="9" t="s">
        <v>52</v>
      </c>
      <c r="J14" s="9">
        <v>2.2000000000000002</v>
      </c>
      <c r="K14" s="9" t="s">
        <v>22</v>
      </c>
      <c r="L14" s="10">
        <v>45937</v>
      </c>
      <c r="M14" s="9">
        <v>2500000</v>
      </c>
      <c r="N14" s="9">
        <v>730620</v>
      </c>
      <c r="O14" s="9">
        <v>20510620</v>
      </c>
      <c r="P14" s="9" t="s">
        <v>59</v>
      </c>
      <c r="Q14" s="9" t="s">
        <v>237</v>
      </c>
      <c r="R14" s="9"/>
      <c r="S14" s="9"/>
      <c r="T14" s="10">
        <v>46062</v>
      </c>
      <c r="U14" s="22" t="s">
        <v>267</v>
      </c>
      <c r="V14" s="9"/>
      <c r="W14" s="9" t="s">
        <v>268</v>
      </c>
      <c r="X14" s="9"/>
      <c r="Y14" s="9"/>
      <c r="Z14" s="9"/>
      <c r="AA14" s="9"/>
      <c r="AB14" s="9"/>
    </row>
    <row r="15" spans="1:28" s="11" customFormat="1" ht="52" x14ac:dyDescent="0.35">
      <c r="A15" s="12" t="s">
        <v>47</v>
      </c>
      <c r="B15" s="9" t="s">
        <v>46</v>
      </c>
      <c r="C15" s="9" t="s">
        <v>47</v>
      </c>
      <c r="D15" s="9">
        <v>12</v>
      </c>
      <c r="E15" s="9" t="s">
        <v>60</v>
      </c>
      <c r="F15" s="9" t="s">
        <v>49</v>
      </c>
      <c r="G15" s="9" t="s">
        <v>50</v>
      </c>
      <c r="H15" s="9" t="s">
        <v>51</v>
      </c>
      <c r="I15" s="9" t="s">
        <v>52</v>
      </c>
      <c r="J15" s="9">
        <v>2.35</v>
      </c>
      <c r="K15" s="9" t="s">
        <v>22</v>
      </c>
      <c r="L15" s="10">
        <v>45937</v>
      </c>
      <c r="M15" s="9">
        <v>2500000</v>
      </c>
      <c r="N15" s="9">
        <v>780435</v>
      </c>
      <c r="O15" s="9">
        <v>20020435</v>
      </c>
      <c r="P15" s="9" t="s">
        <v>61</v>
      </c>
      <c r="Q15" s="9"/>
      <c r="R15" s="9"/>
      <c r="S15" s="9"/>
      <c r="T15" s="9"/>
      <c r="U15" s="9"/>
      <c r="V15" s="9"/>
      <c r="W15" s="9"/>
      <c r="X15" s="9"/>
      <c r="Y15" s="10">
        <v>46064</v>
      </c>
      <c r="Z15" s="22" t="s">
        <v>269</v>
      </c>
      <c r="AA15" s="9"/>
      <c r="AB15" s="9" t="s">
        <v>265</v>
      </c>
    </row>
    <row r="16" spans="1:28" s="11" customFormat="1" ht="26" x14ac:dyDescent="0.35">
      <c r="A16" s="9" t="s">
        <v>47</v>
      </c>
      <c r="B16" s="9" t="s">
        <v>46</v>
      </c>
      <c r="C16" s="9" t="s">
        <v>47</v>
      </c>
      <c r="D16" s="9">
        <v>13</v>
      </c>
      <c r="E16" s="9" t="s">
        <v>62</v>
      </c>
      <c r="F16" s="9" t="s">
        <v>49</v>
      </c>
      <c r="G16" s="9" t="s">
        <v>50</v>
      </c>
      <c r="H16" s="9" t="s">
        <v>51</v>
      </c>
      <c r="I16" s="9" t="s">
        <v>52</v>
      </c>
      <c r="J16" s="9">
        <v>2.6</v>
      </c>
      <c r="K16" s="9" t="s">
        <v>22</v>
      </c>
      <c r="L16" s="10">
        <v>45937</v>
      </c>
      <c r="M16" s="9">
        <v>2500000</v>
      </c>
      <c r="N16" s="9">
        <v>863460</v>
      </c>
      <c r="O16" s="9">
        <v>18708460</v>
      </c>
      <c r="P16" s="9" t="s">
        <v>63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s="2" customFormat="1" ht="25.5" customHeight="1" x14ac:dyDescent="0.35">
      <c r="A17" s="4" t="s">
        <v>47</v>
      </c>
      <c r="B17" s="4" t="s">
        <v>46</v>
      </c>
      <c r="C17" s="4" t="s">
        <v>47</v>
      </c>
      <c r="D17" s="4">
        <v>14</v>
      </c>
      <c r="E17" s="4" t="s">
        <v>64</v>
      </c>
      <c r="F17" s="4" t="s">
        <v>49</v>
      </c>
      <c r="G17" s="4" t="s">
        <v>50</v>
      </c>
      <c r="H17" s="4" t="s">
        <v>51</v>
      </c>
      <c r="I17" s="4" t="s">
        <v>52</v>
      </c>
      <c r="J17" s="4">
        <v>2.9</v>
      </c>
      <c r="K17" s="4" t="s">
        <v>22</v>
      </c>
      <c r="L17" s="5">
        <v>45938</v>
      </c>
      <c r="M17" s="4">
        <v>2500000</v>
      </c>
      <c r="N17" s="4">
        <v>963090</v>
      </c>
      <c r="O17" s="4">
        <v>15678090</v>
      </c>
      <c r="P17" s="4" t="s">
        <v>65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s="2" customFormat="1" ht="26" x14ac:dyDescent="0.35">
      <c r="A18" s="4" t="s">
        <v>47</v>
      </c>
      <c r="B18" s="4" t="s">
        <v>46</v>
      </c>
      <c r="C18" s="4" t="s">
        <v>47</v>
      </c>
      <c r="D18" s="4">
        <v>15</v>
      </c>
      <c r="E18" s="4" t="s">
        <v>66</v>
      </c>
      <c r="F18" s="4" t="s">
        <v>49</v>
      </c>
      <c r="G18" s="4" t="s">
        <v>50</v>
      </c>
      <c r="H18" s="4" t="s">
        <v>51</v>
      </c>
      <c r="I18" s="4" t="s">
        <v>52</v>
      </c>
      <c r="J18" s="4">
        <v>3.25</v>
      </c>
      <c r="K18" s="4" t="s">
        <v>22</v>
      </c>
      <c r="L18" s="5">
        <v>45938</v>
      </c>
      <c r="M18" s="4">
        <v>2500000</v>
      </c>
      <c r="N18" s="4">
        <v>1079325</v>
      </c>
      <c r="O18" s="4">
        <v>18109325</v>
      </c>
      <c r="P18" s="4" t="s">
        <v>67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s="2" customFormat="1" ht="26" x14ac:dyDescent="0.35">
      <c r="A19" s="4" t="s">
        <v>47</v>
      </c>
      <c r="B19" s="4" t="s">
        <v>46</v>
      </c>
      <c r="C19" s="4" t="s">
        <v>47</v>
      </c>
      <c r="D19" s="4">
        <v>16</v>
      </c>
      <c r="E19" s="4" t="s">
        <v>68</v>
      </c>
      <c r="F19" s="4" t="s">
        <v>49</v>
      </c>
      <c r="G19" s="4" t="s">
        <v>50</v>
      </c>
      <c r="H19" s="4" t="s">
        <v>51</v>
      </c>
      <c r="I19" s="4" t="s">
        <v>52</v>
      </c>
      <c r="J19" s="4">
        <v>4</v>
      </c>
      <c r="K19" s="4" t="s">
        <v>22</v>
      </c>
      <c r="L19" s="5">
        <v>45938</v>
      </c>
      <c r="M19" s="4">
        <v>2500000</v>
      </c>
      <c r="N19" s="4">
        <v>1328400</v>
      </c>
      <c r="O19" s="4">
        <v>1798400</v>
      </c>
      <c r="P19" s="4" t="s">
        <v>69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s="2" customFormat="1" ht="26" x14ac:dyDescent="0.35">
      <c r="A20" s="4" t="s">
        <v>47</v>
      </c>
      <c r="B20" s="4" t="s">
        <v>46</v>
      </c>
      <c r="C20" s="4" t="s">
        <v>47</v>
      </c>
      <c r="D20" s="4">
        <v>17</v>
      </c>
      <c r="E20" s="4" t="s">
        <v>70</v>
      </c>
      <c r="F20" s="4" t="s">
        <v>49</v>
      </c>
      <c r="G20" s="4" t="s">
        <v>50</v>
      </c>
      <c r="H20" s="4" t="s">
        <v>51</v>
      </c>
      <c r="I20" s="4" t="s">
        <v>52</v>
      </c>
      <c r="J20" s="4">
        <v>4</v>
      </c>
      <c r="K20" s="4" t="s">
        <v>22</v>
      </c>
      <c r="L20" s="5">
        <v>45938</v>
      </c>
      <c r="M20" s="4">
        <v>2500000</v>
      </c>
      <c r="N20" s="4">
        <v>1328400</v>
      </c>
      <c r="O20" s="4">
        <v>3098400</v>
      </c>
      <c r="P20" s="4" t="s">
        <v>71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s="2" customFormat="1" ht="39" x14ac:dyDescent="0.35">
      <c r="A21" s="4" t="s">
        <v>47</v>
      </c>
      <c r="B21" s="4" t="s">
        <v>46</v>
      </c>
      <c r="C21" s="4" t="s">
        <v>47</v>
      </c>
      <c r="D21" s="4">
        <v>18</v>
      </c>
      <c r="E21" s="4" t="s">
        <v>72</v>
      </c>
      <c r="F21" s="4" t="s">
        <v>49</v>
      </c>
      <c r="G21" s="4" t="s">
        <v>50</v>
      </c>
      <c r="H21" s="4" t="s">
        <v>51</v>
      </c>
      <c r="I21" s="4" t="s">
        <v>52</v>
      </c>
      <c r="J21" s="4">
        <v>4</v>
      </c>
      <c r="K21" s="4" t="s">
        <v>22</v>
      </c>
      <c r="L21" s="5">
        <v>45938</v>
      </c>
      <c r="M21" s="4">
        <v>2500000</v>
      </c>
      <c r="N21" s="4">
        <v>1328400</v>
      </c>
      <c r="O21" s="4">
        <v>75078400</v>
      </c>
      <c r="P21" s="4" t="s">
        <v>73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s="2" customFormat="1" ht="26" x14ac:dyDescent="0.35">
      <c r="A22" s="4" t="s">
        <v>47</v>
      </c>
      <c r="B22" s="4" t="s">
        <v>46</v>
      </c>
      <c r="C22" s="4" t="s">
        <v>47</v>
      </c>
      <c r="D22" s="4">
        <v>19</v>
      </c>
      <c r="E22" s="4" t="s">
        <v>74</v>
      </c>
      <c r="F22" s="4" t="s">
        <v>49</v>
      </c>
      <c r="G22" s="4" t="s">
        <v>50</v>
      </c>
      <c r="H22" s="4" t="s">
        <v>51</v>
      </c>
      <c r="I22" s="4" t="s">
        <v>52</v>
      </c>
      <c r="J22" s="4">
        <v>4</v>
      </c>
      <c r="K22" s="4" t="s">
        <v>22</v>
      </c>
      <c r="L22" s="5">
        <v>45939</v>
      </c>
      <c r="M22" s="4">
        <v>2500000</v>
      </c>
      <c r="N22" s="4">
        <v>1328400</v>
      </c>
      <c r="O22" s="4">
        <v>2573400</v>
      </c>
      <c r="P22" s="4" t="s">
        <v>75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s="2" customFormat="1" ht="26" x14ac:dyDescent="0.35">
      <c r="A23" s="4" t="s">
        <v>47</v>
      </c>
      <c r="B23" s="4" t="s">
        <v>46</v>
      </c>
      <c r="C23" s="4" t="s">
        <v>47</v>
      </c>
      <c r="D23" s="4">
        <v>20</v>
      </c>
      <c r="E23" s="4" t="s">
        <v>76</v>
      </c>
      <c r="F23" s="4" t="s">
        <v>49</v>
      </c>
      <c r="G23" s="4" t="s">
        <v>50</v>
      </c>
      <c r="H23" s="4" t="s">
        <v>51</v>
      </c>
      <c r="I23" s="4" t="s">
        <v>52</v>
      </c>
      <c r="J23" s="4">
        <v>2.6</v>
      </c>
      <c r="K23" s="4" t="s">
        <v>22</v>
      </c>
      <c r="L23" s="5">
        <v>45939</v>
      </c>
      <c r="M23" s="4">
        <v>2500000</v>
      </c>
      <c r="N23" s="4">
        <v>863460</v>
      </c>
      <c r="O23" s="4">
        <v>1688460</v>
      </c>
      <c r="P23" s="4" t="s">
        <v>77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s="2" customFormat="1" ht="26" x14ac:dyDescent="0.35">
      <c r="A24" s="4" t="s">
        <v>47</v>
      </c>
      <c r="B24" s="4" t="s">
        <v>46</v>
      </c>
      <c r="C24" s="4" t="s">
        <v>47</v>
      </c>
      <c r="D24" s="4">
        <v>21</v>
      </c>
      <c r="E24" s="4" t="s">
        <v>78</v>
      </c>
      <c r="F24" s="4" t="s">
        <v>49</v>
      </c>
      <c r="G24" s="4" t="s">
        <v>50</v>
      </c>
      <c r="H24" s="4" t="s">
        <v>51</v>
      </c>
      <c r="I24" s="4" t="s">
        <v>52</v>
      </c>
      <c r="J24" s="4">
        <v>2</v>
      </c>
      <c r="K24" s="4" t="s">
        <v>22</v>
      </c>
      <c r="L24" s="5">
        <v>45939</v>
      </c>
      <c r="M24" s="4">
        <v>1500000</v>
      </c>
      <c r="N24" s="4">
        <v>664200</v>
      </c>
      <c r="O24" s="4">
        <v>789200</v>
      </c>
      <c r="P24" s="4" t="s">
        <v>77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s="2" customFormat="1" ht="26" x14ac:dyDescent="0.35">
      <c r="A25" s="4" t="s">
        <v>47</v>
      </c>
      <c r="B25" s="4" t="s">
        <v>46</v>
      </c>
      <c r="C25" s="4" t="s">
        <v>47</v>
      </c>
      <c r="D25" s="4">
        <v>22</v>
      </c>
      <c r="E25" s="4" t="s">
        <v>79</v>
      </c>
      <c r="F25" s="4" t="s">
        <v>49</v>
      </c>
      <c r="G25" s="4" t="s">
        <v>50</v>
      </c>
      <c r="H25" s="4" t="s">
        <v>51</v>
      </c>
      <c r="I25" s="4" t="s">
        <v>52</v>
      </c>
      <c r="J25" s="4">
        <v>4</v>
      </c>
      <c r="K25" s="4" t="s">
        <v>22</v>
      </c>
      <c r="L25" s="5">
        <v>45939</v>
      </c>
      <c r="M25" s="4">
        <v>2500000</v>
      </c>
      <c r="N25" s="4">
        <v>1328400</v>
      </c>
      <c r="O25" s="4">
        <v>1448400</v>
      </c>
      <c r="P25" s="4" t="s">
        <v>80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s="2" customFormat="1" ht="26" x14ac:dyDescent="0.35">
      <c r="A26" s="12" t="s">
        <v>16</v>
      </c>
      <c r="B26" s="4" t="s">
        <v>15</v>
      </c>
      <c r="C26" s="4" t="s">
        <v>16</v>
      </c>
      <c r="D26" s="4">
        <v>23</v>
      </c>
      <c r="E26" s="4" t="s">
        <v>81</v>
      </c>
      <c r="F26" s="4" t="s">
        <v>18</v>
      </c>
      <c r="G26" s="4" t="s">
        <v>39</v>
      </c>
      <c r="H26" s="4" t="s">
        <v>40</v>
      </c>
      <c r="I26" s="4" t="s">
        <v>41</v>
      </c>
      <c r="J26" s="4">
        <v>1.1941999999999999</v>
      </c>
      <c r="K26" s="4" t="s">
        <v>22</v>
      </c>
      <c r="L26" s="5">
        <v>45939</v>
      </c>
      <c r="M26" s="4">
        <v>1500000</v>
      </c>
      <c r="N26" s="4">
        <v>694056</v>
      </c>
      <c r="O26" s="4">
        <v>85156805</v>
      </c>
      <c r="P26" s="4" t="s">
        <v>82</v>
      </c>
      <c r="Q26" s="4" t="s">
        <v>237</v>
      </c>
      <c r="R26" s="4"/>
      <c r="S26" s="4"/>
      <c r="T26" s="5">
        <v>46109</v>
      </c>
      <c r="U26" s="23" t="s">
        <v>246</v>
      </c>
      <c r="V26" s="4"/>
      <c r="W26" s="4" t="s">
        <v>247</v>
      </c>
      <c r="X26" s="4"/>
      <c r="Y26" s="4"/>
      <c r="Z26" s="4"/>
      <c r="AA26" s="4"/>
      <c r="AB26" s="4"/>
    </row>
    <row r="27" spans="1:28" s="11" customFormat="1" ht="26" x14ac:dyDescent="0.35">
      <c r="A27" s="12" t="s">
        <v>16</v>
      </c>
      <c r="B27" s="9" t="s">
        <v>15</v>
      </c>
      <c r="C27" s="9" t="s">
        <v>16</v>
      </c>
      <c r="D27" s="9">
        <v>24</v>
      </c>
      <c r="E27" s="9" t="s">
        <v>83</v>
      </c>
      <c r="F27" s="9" t="s">
        <v>18</v>
      </c>
      <c r="G27" s="9" t="s">
        <v>39</v>
      </c>
      <c r="H27" s="9" t="s">
        <v>40</v>
      </c>
      <c r="I27" s="9" t="s">
        <v>41</v>
      </c>
      <c r="J27" s="9">
        <v>1.08</v>
      </c>
      <c r="K27" s="9" t="s">
        <v>22</v>
      </c>
      <c r="L27" s="10">
        <v>45940</v>
      </c>
      <c r="M27" s="9">
        <v>1500000</v>
      </c>
      <c r="N27" s="9">
        <v>627264</v>
      </c>
      <c r="O27" s="9">
        <v>27349995</v>
      </c>
      <c r="P27" s="9" t="s">
        <v>84</v>
      </c>
      <c r="Q27" s="9" t="s">
        <v>237</v>
      </c>
      <c r="R27" s="9"/>
      <c r="S27" s="9"/>
      <c r="T27" s="10">
        <v>46109</v>
      </c>
      <c r="U27" s="18" t="s">
        <v>249</v>
      </c>
      <c r="V27" s="9"/>
      <c r="W27" s="9" t="s">
        <v>247</v>
      </c>
      <c r="X27" s="9"/>
      <c r="Y27" s="9"/>
      <c r="Z27" s="9"/>
      <c r="AA27" s="9"/>
      <c r="AB27" s="9"/>
    </row>
    <row r="28" spans="1:28" s="11" customFormat="1" ht="26" x14ac:dyDescent="0.35">
      <c r="A28" s="12" t="s">
        <v>16</v>
      </c>
      <c r="B28" s="9" t="s">
        <v>15</v>
      </c>
      <c r="C28" s="9" t="s">
        <v>16</v>
      </c>
      <c r="D28" s="9">
        <v>25</v>
      </c>
      <c r="E28" s="9" t="s">
        <v>85</v>
      </c>
      <c r="F28" s="9" t="s">
        <v>18</v>
      </c>
      <c r="G28" s="9" t="s">
        <v>39</v>
      </c>
      <c r="H28" s="9" t="s">
        <v>40</v>
      </c>
      <c r="I28" s="9" t="s">
        <v>41</v>
      </c>
      <c r="J28" s="9">
        <v>1.08</v>
      </c>
      <c r="K28" s="9" t="s">
        <v>22</v>
      </c>
      <c r="L28" s="10">
        <v>45940</v>
      </c>
      <c r="M28" s="9">
        <v>1500000</v>
      </c>
      <c r="N28" s="9">
        <v>627264</v>
      </c>
      <c r="O28" s="9">
        <v>13649995</v>
      </c>
      <c r="P28" s="9" t="s">
        <v>86</v>
      </c>
      <c r="Q28" s="9" t="s">
        <v>237</v>
      </c>
      <c r="R28" s="9"/>
      <c r="S28" s="9"/>
      <c r="T28" s="10">
        <v>46046</v>
      </c>
      <c r="U28" s="22" t="s">
        <v>248</v>
      </c>
      <c r="V28" s="9"/>
      <c r="W28" s="9" t="s">
        <v>245</v>
      </c>
      <c r="X28" s="9"/>
      <c r="Y28" s="9"/>
      <c r="Z28" s="9"/>
      <c r="AA28" s="9"/>
      <c r="AB28" s="9"/>
    </row>
    <row r="29" spans="1:28" s="11" customFormat="1" ht="39" x14ac:dyDescent="0.35">
      <c r="A29" s="12" t="s">
        <v>16</v>
      </c>
      <c r="B29" s="9" t="s">
        <v>15</v>
      </c>
      <c r="C29" s="9" t="s">
        <v>16</v>
      </c>
      <c r="D29" s="9">
        <v>26</v>
      </c>
      <c r="E29" s="9" t="s">
        <v>87</v>
      </c>
      <c r="F29" s="9" t="s">
        <v>18</v>
      </c>
      <c r="G29" s="9" t="s">
        <v>39</v>
      </c>
      <c r="H29" s="9" t="s">
        <v>40</v>
      </c>
      <c r="I29" s="9" t="s">
        <v>41</v>
      </c>
      <c r="J29" s="9">
        <v>1.3010999999999999</v>
      </c>
      <c r="K29" s="9" t="s">
        <v>22</v>
      </c>
      <c r="L29" s="10">
        <v>45940</v>
      </c>
      <c r="M29" s="9">
        <v>1500000</v>
      </c>
      <c r="N29" s="9">
        <v>756202</v>
      </c>
      <c r="O29" s="9">
        <v>10726250</v>
      </c>
      <c r="P29" s="9" t="s">
        <v>88</v>
      </c>
      <c r="Q29" s="9" t="s">
        <v>237</v>
      </c>
      <c r="R29" s="9"/>
      <c r="S29" s="9"/>
      <c r="T29" s="10">
        <v>46055</v>
      </c>
      <c r="U29" s="22" t="s">
        <v>250</v>
      </c>
      <c r="V29" s="10">
        <v>46056</v>
      </c>
      <c r="W29" s="9" t="s">
        <v>251</v>
      </c>
      <c r="X29" s="9"/>
      <c r="Y29" s="9"/>
      <c r="Z29" s="9"/>
      <c r="AA29" s="9"/>
      <c r="AB29" s="9"/>
    </row>
    <row r="30" spans="1:28" s="11" customFormat="1" ht="26" x14ac:dyDescent="0.35">
      <c r="A30" s="12" t="s">
        <v>16</v>
      </c>
      <c r="B30" s="9" t="s">
        <v>15</v>
      </c>
      <c r="C30" s="9" t="s">
        <v>16</v>
      </c>
      <c r="D30" s="9">
        <v>27</v>
      </c>
      <c r="E30" s="9" t="s">
        <v>89</v>
      </c>
      <c r="F30" s="9" t="s">
        <v>18</v>
      </c>
      <c r="G30" s="9" t="s">
        <v>39</v>
      </c>
      <c r="H30" s="9" t="s">
        <v>40</v>
      </c>
      <c r="I30" s="9" t="s">
        <v>41</v>
      </c>
      <c r="J30" s="9">
        <v>1.0516000000000001</v>
      </c>
      <c r="K30" s="9" t="s">
        <v>22</v>
      </c>
      <c r="L30" s="10">
        <v>45940</v>
      </c>
      <c r="M30" s="9">
        <v>1500000</v>
      </c>
      <c r="N30" s="9">
        <v>611002</v>
      </c>
      <c r="O30" s="9">
        <v>2676850</v>
      </c>
      <c r="P30" s="9" t="s">
        <v>90</v>
      </c>
      <c r="Q30" s="9" t="s">
        <v>237</v>
      </c>
      <c r="R30" s="9"/>
      <c r="S30" s="9"/>
      <c r="T30" s="10">
        <v>46081</v>
      </c>
      <c r="U30" s="22" t="s">
        <v>252</v>
      </c>
      <c r="V30" s="9"/>
      <c r="W30" s="9" t="s">
        <v>245</v>
      </c>
      <c r="X30" s="9"/>
      <c r="Y30" s="9"/>
      <c r="Z30" s="9"/>
      <c r="AA30" s="9"/>
      <c r="AB30" s="9"/>
    </row>
    <row r="31" spans="1:28" s="2" customFormat="1" ht="26" x14ac:dyDescent="0.35">
      <c r="A31" s="12" t="s">
        <v>16</v>
      </c>
      <c r="B31" s="4" t="s">
        <v>15</v>
      </c>
      <c r="C31" s="4" t="s">
        <v>16</v>
      </c>
      <c r="D31" s="4">
        <v>28</v>
      </c>
      <c r="E31" s="4" t="s">
        <v>91</v>
      </c>
      <c r="F31" s="4" t="s">
        <v>18</v>
      </c>
      <c r="G31" s="4" t="s">
        <v>39</v>
      </c>
      <c r="H31" s="4" t="s">
        <v>40</v>
      </c>
      <c r="I31" s="4" t="s">
        <v>41</v>
      </c>
      <c r="J31" s="4">
        <v>1.3297000000000001</v>
      </c>
      <c r="K31" s="4" t="s">
        <v>22</v>
      </c>
      <c r="L31" s="5">
        <v>45940</v>
      </c>
      <c r="M31" s="4">
        <v>1500000</v>
      </c>
      <c r="N31" s="4">
        <v>772464</v>
      </c>
      <c r="O31" s="4">
        <v>5014520</v>
      </c>
      <c r="P31" s="4" t="s">
        <v>92</v>
      </c>
      <c r="Q31" s="4" t="s">
        <v>237</v>
      </c>
      <c r="R31" s="4"/>
      <c r="S31" s="4"/>
      <c r="T31" s="14">
        <v>45990</v>
      </c>
      <c r="U31" s="19" t="s">
        <v>253</v>
      </c>
      <c r="V31" s="4"/>
      <c r="W31" s="9" t="s">
        <v>245</v>
      </c>
      <c r="X31" s="4"/>
      <c r="Y31" s="4"/>
      <c r="Z31" s="4"/>
      <c r="AA31" s="4"/>
      <c r="AB31" s="4"/>
    </row>
    <row r="32" spans="1:28" s="2" customFormat="1" ht="26" x14ac:dyDescent="0.35">
      <c r="A32" s="12" t="s">
        <v>16</v>
      </c>
      <c r="B32" s="4" t="s">
        <v>15</v>
      </c>
      <c r="C32" s="4" t="s">
        <v>16</v>
      </c>
      <c r="D32" s="4">
        <v>29</v>
      </c>
      <c r="E32" s="4" t="s">
        <v>93</v>
      </c>
      <c r="F32" s="4" t="s">
        <v>18</v>
      </c>
      <c r="G32" s="4" t="s">
        <v>39</v>
      </c>
      <c r="H32" s="4" t="s">
        <v>40</v>
      </c>
      <c r="I32" s="4" t="s">
        <v>41</v>
      </c>
      <c r="J32" s="4">
        <v>1.1216999999999999</v>
      </c>
      <c r="K32" s="4" t="s">
        <v>22</v>
      </c>
      <c r="L32" s="5">
        <v>45944</v>
      </c>
      <c r="M32" s="4">
        <v>1500000</v>
      </c>
      <c r="N32" s="4">
        <v>651658</v>
      </c>
      <c r="O32" s="4">
        <v>6561635</v>
      </c>
      <c r="P32" s="4" t="s">
        <v>94</v>
      </c>
      <c r="Q32" s="4" t="s">
        <v>237</v>
      </c>
      <c r="R32" s="4"/>
      <c r="S32" s="4"/>
      <c r="T32" s="5">
        <v>46049</v>
      </c>
      <c r="U32" s="24" t="s">
        <v>254</v>
      </c>
      <c r="V32" s="4"/>
      <c r="W32" s="9" t="s">
        <v>245</v>
      </c>
      <c r="X32" s="4"/>
      <c r="Y32" s="4"/>
      <c r="Z32" s="4"/>
      <c r="AA32" s="4"/>
      <c r="AB32" s="4"/>
    </row>
    <row r="33" spans="1:28" s="11" customFormat="1" ht="52" x14ac:dyDescent="0.35">
      <c r="A33" s="12" t="s">
        <v>16</v>
      </c>
      <c r="B33" s="9" t="s">
        <v>15</v>
      </c>
      <c r="C33" s="9" t="s">
        <v>16</v>
      </c>
      <c r="D33" s="9">
        <v>30</v>
      </c>
      <c r="E33" s="9" t="s">
        <v>95</v>
      </c>
      <c r="F33" s="9" t="s">
        <v>18</v>
      </c>
      <c r="G33" s="9" t="s">
        <v>39</v>
      </c>
      <c r="H33" s="9" t="s">
        <v>40</v>
      </c>
      <c r="I33" s="9" t="s">
        <v>41</v>
      </c>
      <c r="J33" s="9">
        <v>1.08</v>
      </c>
      <c r="K33" s="9" t="s">
        <v>22</v>
      </c>
      <c r="L33" s="10">
        <v>45944</v>
      </c>
      <c r="M33" s="9">
        <v>1500000</v>
      </c>
      <c r="N33" s="9">
        <v>627264</v>
      </c>
      <c r="O33" s="9">
        <v>7444995</v>
      </c>
      <c r="P33" s="9" t="s">
        <v>96</v>
      </c>
      <c r="Q33" s="13" t="s">
        <v>237</v>
      </c>
      <c r="R33" s="14">
        <v>45974</v>
      </c>
      <c r="S33" s="13"/>
      <c r="T33" s="14">
        <v>45990</v>
      </c>
      <c r="U33" s="15" t="s">
        <v>238</v>
      </c>
      <c r="V33" s="13"/>
      <c r="W33" s="13" t="s">
        <v>240</v>
      </c>
      <c r="X33" s="9"/>
      <c r="Y33" s="9"/>
      <c r="Z33" s="9"/>
      <c r="AA33" s="9"/>
      <c r="AB33" s="9"/>
    </row>
    <row r="34" spans="1:28" s="2" customFormat="1" ht="65" x14ac:dyDescent="0.35">
      <c r="A34" s="4" t="s">
        <v>47</v>
      </c>
      <c r="B34" s="4" t="s">
        <v>46</v>
      </c>
      <c r="C34" s="4" t="s">
        <v>47</v>
      </c>
      <c r="D34" s="4">
        <v>31</v>
      </c>
      <c r="E34" s="4" t="s">
        <v>97</v>
      </c>
      <c r="F34" s="4" t="s">
        <v>49</v>
      </c>
      <c r="G34" s="4" t="s">
        <v>50</v>
      </c>
      <c r="H34" s="4" t="s">
        <v>51</v>
      </c>
      <c r="I34" s="4" t="s">
        <v>52</v>
      </c>
      <c r="J34" s="4">
        <v>4</v>
      </c>
      <c r="K34" s="4" t="s">
        <v>22</v>
      </c>
      <c r="L34" s="5">
        <v>45944</v>
      </c>
      <c r="M34" s="4">
        <v>2500000</v>
      </c>
      <c r="N34" s="4">
        <v>1328400</v>
      </c>
      <c r="O34" s="4">
        <v>8938400</v>
      </c>
      <c r="P34" s="4" t="s">
        <v>53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s="2" customFormat="1" ht="26" x14ac:dyDescent="0.35">
      <c r="A35" s="4" t="s">
        <v>47</v>
      </c>
      <c r="B35" s="4" t="s">
        <v>46</v>
      </c>
      <c r="C35" s="4" t="s">
        <v>47</v>
      </c>
      <c r="D35" s="4">
        <v>32</v>
      </c>
      <c r="E35" s="4" t="s">
        <v>98</v>
      </c>
      <c r="F35" s="4" t="s">
        <v>49</v>
      </c>
      <c r="G35" s="4" t="s">
        <v>50</v>
      </c>
      <c r="H35" s="4" t="s">
        <v>51</v>
      </c>
      <c r="I35" s="4" t="s">
        <v>52</v>
      </c>
      <c r="J35" s="4">
        <v>4</v>
      </c>
      <c r="K35" s="4" t="s">
        <v>22</v>
      </c>
      <c r="L35" s="5">
        <v>45944</v>
      </c>
      <c r="M35" s="4">
        <v>2500000</v>
      </c>
      <c r="N35" s="4">
        <v>1328400</v>
      </c>
      <c r="O35" s="4">
        <v>17678400</v>
      </c>
      <c r="P35" s="4" t="s">
        <v>99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s="2" customFormat="1" ht="26" x14ac:dyDescent="0.35">
      <c r="A36" s="4" t="s">
        <v>47</v>
      </c>
      <c r="B36" s="4" t="s">
        <v>46</v>
      </c>
      <c r="C36" s="4" t="s">
        <v>47</v>
      </c>
      <c r="D36" s="4">
        <v>33</v>
      </c>
      <c r="E36" s="4" t="s">
        <v>100</v>
      </c>
      <c r="F36" s="4" t="s">
        <v>49</v>
      </c>
      <c r="G36" s="4" t="s">
        <v>50</v>
      </c>
      <c r="H36" s="4" t="s">
        <v>51</v>
      </c>
      <c r="I36" s="4" t="s">
        <v>52</v>
      </c>
      <c r="J36" s="4">
        <v>4</v>
      </c>
      <c r="K36" s="4" t="s">
        <v>22</v>
      </c>
      <c r="L36" s="5">
        <v>45944</v>
      </c>
      <c r="M36" s="4">
        <v>2500000</v>
      </c>
      <c r="N36" s="4">
        <v>1328400</v>
      </c>
      <c r="O36" s="4">
        <v>1863400</v>
      </c>
      <c r="P36" s="4" t="s">
        <v>101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s="2" customFormat="1" ht="26" x14ac:dyDescent="0.35">
      <c r="A37" s="4" t="s">
        <v>47</v>
      </c>
      <c r="B37" s="4" t="s">
        <v>46</v>
      </c>
      <c r="C37" s="4" t="s">
        <v>47</v>
      </c>
      <c r="D37" s="4">
        <v>34</v>
      </c>
      <c r="E37" s="4" t="s">
        <v>102</v>
      </c>
      <c r="F37" s="4" t="s">
        <v>49</v>
      </c>
      <c r="G37" s="4" t="s">
        <v>50</v>
      </c>
      <c r="H37" s="4" t="s">
        <v>51</v>
      </c>
      <c r="I37" s="4" t="s">
        <v>52</v>
      </c>
      <c r="J37" s="4">
        <v>4</v>
      </c>
      <c r="K37" s="4" t="s">
        <v>22</v>
      </c>
      <c r="L37" s="5">
        <v>45945</v>
      </c>
      <c r="M37" s="4">
        <v>2500000</v>
      </c>
      <c r="N37" s="4">
        <v>1328400</v>
      </c>
      <c r="O37" s="4">
        <v>7598400</v>
      </c>
      <c r="P37" s="4" t="s">
        <v>103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s="2" customFormat="1" ht="26" x14ac:dyDescent="0.35">
      <c r="A38" s="4" t="s">
        <v>47</v>
      </c>
      <c r="B38" s="4" t="s">
        <v>46</v>
      </c>
      <c r="C38" s="4" t="s">
        <v>47</v>
      </c>
      <c r="D38" s="4">
        <v>35</v>
      </c>
      <c r="E38" s="4" t="s">
        <v>104</v>
      </c>
      <c r="F38" s="4" t="s">
        <v>49</v>
      </c>
      <c r="G38" s="4" t="s">
        <v>50</v>
      </c>
      <c r="H38" s="4" t="s">
        <v>51</v>
      </c>
      <c r="I38" s="4" t="s">
        <v>52</v>
      </c>
      <c r="J38" s="4">
        <v>4</v>
      </c>
      <c r="K38" s="4" t="s">
        <v>22</v>
      </c>
      <c r="L38" s="5">
        <v>45945</v>
      </c>
      <c r="M38" s="4">
        <v>2500000</v>
      </c>
      <c r="N38" s="4">
        <v>1328400</v>
      </c>
      <c r="O38" s="4">
        <v>8083400</v>
      </c>
      <c r="P38" s="4" t="s">
        <v>105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s="2" customFormat="1" ht="26" x14ac:dyDescent="0.35">
      <c r="A39" s="4" t="s">
        <v>47</v>
      </c>
      <c r="B39" s="4" t="s">
        <v>46</v>
      </c>
      <c r="C39" s="4" t="s">
        <v>47</v>
      </c>
      <c r="D39" s="4">
        <v>36</v>
      </c>
      <c r="E39" s="4" t="s">
        <v>106</v>
      </c>
      <c r="F39" s="4" t="s">
        <v>49</v>
      </c>
      <c r="G39" s="4" t="s">
        <v>50</v>
      </c>
      <c r="H39" s="4" t="s">
        <v>51</v>
      </c>
      <c r="I39" s="4" t="s">
        <v>52</v>
      </c>
      <c r="J39" s="4">
        <v>4</v>
      </c>
      <c r="K39" s="4" t="s">
        <v>22</v>
      </c>
      <c r="L39" s="5">
        <v>45945</v>
      </c>
      <c r="M39" s="4">
        <v>2500000</v>
      </c>
      <c r="N39" s="4">
        <v>1328400</v>
      </c>
      <c r="O39" s="4">
        <v>2083400</v>
      </c>
      <c r="P39" s="4" t="s">
        <v>107</v>
      </c>
      <c r="Q39" s="4" t="s">
        <v>237</v>
      </c>
      <c r="R39" s="4"/>
      <c r="S39" s="4"/>
      <c r="T39" s="5">
        <v>46055</v>
      </c>
      <c r="U39" s="24" t="s">
        <v>270</v>
      </c>
      <c r="V39" s="5">
        <v>46059</v>
      </c>
      <c r="W39" s="4" t="s">
        <v>251</v>
      </c>
      <c r="X39" s="4"/>
      <c r="Y39" s="4"/>
      <c r="Z39" s="4"/>
      <c r="AA39" s="4"/>
      <c r="AB39" s="4"/>
    </row>
    <row r="40" spans="1:28" s="2" customFormat="1" ht="26" x14ac:dyDescent="0.35">
      <c r="A40" s="4" t="s">
        <v>47</v>
      </c>
      <c r="B40" s="4" t="s">
        <v>46</v>
      </c>
      <c r="C40" s="4" t="s">
        <v>47</v>
      </c>
      <c r="D40" s="4">
        <v>37</v>
      </c>
      <c r="E40" s="4" t="s">
        <v>108</v>
      </c>
      <c r="F40" s="4" t="s">
        <v>49</v>
      </c>
      <c r="G40" s="4" t="s">
        <v>50</v>
      </c>
      <c r="H40" s="4" t="s">
        <v>51</v>
      </c>
      <c r="I40" s="4" t="s">
        <v>52</v>
      </c>
      <c r="J40" s="4">
        <v>4</v>
      </c>
      <c r="K40" s="4" t="s">
        <v>22</v>
      </c>
      <c r="L40" s="5">
        <v>45945</v>
      </c>
      <c r="M40" s="4">
        <v>2500000</v>
      </c>
      <c r="N40" s="4">
        <v>1328400</v>
      </c>
      <c r="O40" s="4">
        <v>30143400</v>
      </c>
      <c r="P40" s="4" t="s">
        <v>109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s="2" customFormat="1" ht="26" x14ac:dyDescent="0.35">
      <c r="A41" s="4" t="s">
        <v>47</v>
      </c>
      <c r="B41" s="4" t="s">
        <v>46</v>
      </c>
      <c r="C41" s="4" t="s">
        <v>47</v>
      </c>
      <c r="D41" s="4">
        <v>38</v>
      </c>
      <c r="E41" s="4" t="s">
        <v>110</v>
      </c>
      <c r="F41" s="4" t="s">
        <v>49</v>
      </c>
      <c r="G41" s="4" t="s">
        <v>50</v>
      </c>
      <c r="H41" s="4" t="s">
        <v>51</v>
      </c>
      <c r="I41" s="4" t="s">
        <v>52</v>
      </c>
      <c r="J41" s="4">
        <v>4</v>
      </c>
      <c r="K41" s="4" t="s">
        <v>22</v>
      </c>
      <c r="L41" s="5">
        <v>45945</v>
      </c>
      <c r="M41" s="4">
        <v>2500000</v>
      </c>
      <c r="N41" s="4">
        <v>1328400</v>
      </c>
      <c r="O41" s="4">
        <v>12133400</v>
      </c>
      <c r="P41" s="4" t="s">
        <v>111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s="2" customFormat="1" ht="26" x14ac:dyDescent="0.35">
      <c r="A42" s="4" t="s">
        <v>47</v>
      </c>
      <c r="B42" s="4" t="s">
        <v>46</v>
      </c>
      <c r="C42" s="4" t="s">
        <v>47</v>
      </c>
      <c r="D42" s="4">
        <v>39</v>
      </c>
      <c r="E42" s="4" t="s">
        <v>112</v>
      </c>
      <c r="F42" s="4" t="s">
        <v>49</v>
      </c>
      <c r="G42" s="4" t="s">
        <v>50</v>
      </c>
      <c r="H42" s="4" t="s">
        <v>51</v>
      </c>
      <c r="I42" s="4" t="s">
        <v>52</v>
      </c>
      <c r="J42" s="4">
        <v>2.2999999999999998</v>
      </c>
      <c r="K42" s="4" t="s">
        <v>22</v>
      </c>
      <c r="L42" s="5">
        <v>45946</v>
      </c>
      <c r="M42" s="4">
        <v>2500000</v>
      </c>
      <c r="N42" s="4">
        <v>763830</v>
      </c>
      <c r="O42" s="4">
        <v>1488830</v>
      </c>
      <c r="P42" s="4" t="s">
        <v>113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s="2" customFormat="1" ht="39" x14ac:dyDescent="0.35">
      <c r="A43" s="4" t="s">
        <v>47</v>
      </c>
      <c r="B43" s="4" t="s">
        <v>46</v>
      </c>
      <c r="C43" s="4" t="s">
        <v>47</v>
      </c>
      <c r="D43" s="4">
        <v>40</v>
      </c>
      <c r="E43" s="4" t="s">
        <v>114</v>
      </c>
      <c r="F43" s="4" t="s">
        <v>49</v>
      </c>
      <c r="G43" s="4" t="s">
        <v>50</v>
      </c>
      <c r="H43" s="4" t="s">
        <v>51</v>
      </c>
      <c r="I43" s="4" t="s">
        <v>52</v>
      </c>
      <c r="J43" s="4">
        <v>2</v>
      </c>
      <c r="K43" s="4" t="s">
        <v>22</v>
      </c>
      <c r="L43" s="5">
        <v>45946</v>
      </c>
      <c r="M43" s="4">
        <v>1500000</v>
      </c>
      <c r="N43" s="4">
        <v>664200</v>
      </c>
      <c r="O43" s="4">
        <v>10144200</v>
      </c>
      <c r="P43" s="4" t="s">
        <v>115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s="2" customFormat="1" ht="26" x14ac:dyDescent="0.35">
      <c r="A44" s="4" t="s">
        <v>47</v>
      </c>
      <c r="B44" s="4" t="s">
        <v>46</v>
      </c>
      <c r="C44" s="4" t="s">
        <v>47</v>
      </c>
      <c r="D44" s="4">
        <v>41</v>
      </c>
      <c r="E44" s="4" t="s">
        <v>116</v>
      </c>
      <c r="F44" s="4" t="s">
        <v>49</v>
      </c>
      <c r="G44" s="4" t="s">
        <v>50</v>
      </c>
      <c r="H44" s="4" t="s">
        <v>51</v>
      </c>
      <c r="I44" s="4" t="s">
        <v>52</v>
      </c>
      <c r="J44" s="4">
        <v>4</v>
      </c>
      <c r="K44" s="4" t="s">
        <v>22</v>
      </c>
      <c r="L44" s="5">
        <v>45946</v>
      </c>
      <c r="M44" s="4">
        <v>2500000</v>
      </c>
      <c r="N44" s="4">
        <v>1328400</v>
      </c>
      <c r="O44" s="4">
        <v>22958400</v>
      </c>
      <c r="P44" s="4" t="s">
        <v>117</v>
      </c>
      <c r="Q44" s="4" t="s">
        <v>237</v>
      </c>
      <c r="R44" s="4"/>
      <c r="S44" s="4"/>
      <c r="T44" s="5">
        <v>46055</v>
      </c>
      <c r="U44" s="19" t="s">
        <v>271</v>
      </c>
      <c r="V44" s="5">
        <v>46059</v>
      </c>
      <c r="W44" s="4" t="s">
        <v>262</v>
      </c>
      <c r="X44" s="4"/>
      <c r="Y44" s="4"/>
      <c r="Z44" s="4"/>
      <c r="AA44" s="4"/>
      <c r="AB44" s="4"/>
    </row>
    <row r="45" spans="1:28" s="2" customFormat="1" ht="26" x14ac:dyDescent="0.35">
      <c r="A45" s="4" t="s">
        <v>47</v>
      </c>
      <c r="B45" s="4" t="s">
        <v>46</v>
      </c>
      <c r="C45" s="4" t="s">
        <v>47</v>
      </c>
      <c r="D45" s="4">
        <v>42</v>
      </c>
      <c r="E45" s="4" t="s">
        <v>118</v>
      </c>
      <c r="F45" s="4" t="s">
        <v>49</v>
      </c>
      <c r="G45" s="4" t="s">
        <v>50</v>
      </c>
      <c r="H45" s="4" t="s">
        <v>51</v>
      </c>
      <c r="I45" s="4" t="s">
        <v>52</v>
      </c>
      <c r="J45" s="4">
        <v>4</v>
      </c>
      <c r="K45" s="4" t="s">
        <v>22</v>
      </c>
      <c r="L45" s="5">
        <v>45946</v>
      </c>
      <c r="M45" s="4">
        <v>2500000</v>
      </c>
      <c r="N45" s="4">
        <v>1328400</v>
      </c>
      <c r="O45" s="4">
        <v>2408400</v>
      </c>
      <c r="P45" s="4" t="s">
        <v>119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s="2" customFormat="1" ht="26" x14ac:dyDescent="0.35">
      <c r="A46" s="4" t="s">
        <v>47</v>
      </c>
      <c r="B46" s="4" t="s">
        <v>46</v>
      </c>
      <c r="C46" s="4" t="s">
        <v>47</v>
      </c>
      <c r="D46" s="4">
        <v>43</v>
      </c>
      <c r="E46" s="4" t="s">
        <v>120</v>
      </c>
      <c r="F46" s="4" t="s">
        <v>49</v>
      </c>
      <c r="G46" s="4" t="s">
        <v>50</v>
      </c>
      <c r="H46" s="4" t="s">
        <v>51</v>
      </c>
      <c r="I46" s="4" t="s">
        <v>52</v>
      </c>
      <c r="J46" s="4">
        <v>4</v>
      </c>
      <c r="K46" s="4" t="s">
        <v>22</v>
      </c>
      <c r="L46" s="5">
        <v>45946</v>
      </c>
      <c r="M46" s="4">
        <v>2500000</v>
      </c>
      <c r="N46" s="4">
        <v>1328400</v>
      </c>
      <c r="O46" s="4">
        <v>7113400</v>
      </c>
      <c r="P46" s="4" t="s">
        <v>121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s="2" customFormat="1" ht="26" x14ac:dyDescent="0.35">
      <c r="A47" s="4" t="s">
        <v>47</v>
      </c>
      <c r="B47" s="4" t="s">
        <v>46</v>
      </c>
      <c r="C47" s="4" t="s">
        <v>47</v>
      </c>
      <c r="D47" s="4">
        <v>44</v>
      </c>
      <c r="E47" s="4" t="s">
        <v>122</v>
      </c>
      <c r="F47" s="4" t="s">
        <v>49</v>
      </c>
      <c r="G47" s="4" t="s">
        <v>50</v>
      </c>
      <c r="H47" s="4" t="s">
        <v>51</v>
      </c>
      <c r="I47" s="4" t="s">
        <v>52</v>
      </c>
      <c r="J47" s="4">
        <v>4</v>
      </c>
      <c r="K47" s="4" t="s">
        <v>22</v>
      </c>
      <c r="L47" s="5">
        <v>45947</v>
      </c>
      <c r="M47" s="4">
        <v>2500000</v>
      </c>
      <c r="N47" s="4">
        <v>1328400</v>
      </c>
      <c r="O47" s="4">
        <v>7288400</v>
      </c>
      <c r="P47" s="4" t="s">
        <v>65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s="2" customFormat="1" ht="26" x14ac:dyDescent="0.35">
      <c r="A48" s="4" t="s">
        <v>47</v>
      </c>
      <c r="B48" s="4" t="s">
        <v>46</v>
      </c>
      <c r="C48" s="4" t="s">
        <v>47</v>
      </c>
      <c r="D48" s="4">
        <v>45</v>
      </c>
      <c r="E48" s="4" t="s">
        <v>123</v>
      </c>
      <c r="F48" s="4" t="s">
        <v>49</v>
      </c>
      <c r="G48" s="4" t="s">
        <v>50</v>
      </c>
      <c r="H48" s="4" t="s">
        <v>51</v>
      </c>
      <c r="I48" s="4" t="s">
        <v>52</v>
      </c>
      <c r="J48" s="4">
        <v>4</v>
      </c>
      <c r="K48" s="4" t="s">
        <v>22</v>
      </c>
      <c r="L48" s="5">
        <v>45947</v>
      </c>
      <c r="M48" s="4">
        <v>2500000</v>
      </c>
      <c r="N48" s="4">
        <v>1328400</v>
      </c>
      <c r="O48" s="4">
        <v>8043400</v>
      </c>
      <c r="P48" s="4" t="s">
        <v>124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s="2" customFormat="1" ht="26" x14ac:dyDescent="0.35">
      <c r="A49" s="4" t="s">
        <v>47</v>
      </c>
      <c r="B49" s="4" t="s">
        <v>46</v>
      </c>
      <c r="C49" s="4" t="s">
        <v>47</v>
      </c>
      <c r="D49" s="4">
        <v>46</v>
      </c>
      <c r="E49" s="4" t="s">
        <v>125</v>
      </c>
      <c r="F49" s="4" t="s">
        <v>49</v>
      </c>
      <c r="G49" s="4" t="s">
        <v>50</v>
      </c>
      <c r="H49" s="4" t="s">
        <v>51</v>
      </c>
      <c r="I49" s="4" t="s">
        <v>52</v>
      </c>
      <c r="J49" s="4">
        <v>4</v>
      </c>
      <c r="K49" s="4" t="s">
        <v>22</v>
      </c>
      <c r="L49" s="5">
        <v>45947</v>
      </c>
      <c r="M49" s="4">
        <v>2500000</v>
      </c>
      <c r="N49" s="4">
        <v>1328400</v>
      </c>
      <c r="O49" s="4">
        <v>20323400</v>
      </c>
      <c r="P49" s="4" t="s">
        <v>126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s="2" customFormat="1" ht="26" x14ac:dyDescent="0.35">
      <c r="A50" s="4" t="s">
        <v>47</v>
      </c>
      <c r="B50" s="4" t="s">
        <v>46</v>
      </c>
      <c r="C50" s="4" t="s">
        <v>47</v>
      </c>
      <c r="D50" s="4">
        <v>47</v>
      </c>
      <c r="E50" s="4" t="s">
        <v>127</v>
      </c>
      <c r="F50" s="4" t="s">
        <v>49</v>
      </c>
      <c r="G50" s="4" t="s">
        <v>50</v>
      </c>
      <c r="H50" s="4" t="s">
        <v>51</v>
      </c>
      <c r="I50" s="4" t="s">
        <v>52</v>
      </c>
      <c r="J50" s="4">
        <v>3</v>
      </c>
      <c r="K50" s="4" t="s">
        <v>22</v>
      </c>
      <c r="L50" s="5">
        <v>45947</v>
      </c>
      <c r="M50" s="4">
        <v>2500000</v>
      </c>
      <c r="N50" s="4">
        <v>996300</v>
      </c>
      <c r="O50" s="4">
        <v>5526300</v>
      </c>
      <c r="P50" s="4" t="s">
        <v>128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s="2" customFormat="1" ht="26" x14ac:dyDescent="0.35">
      <c r="A51" s="4" t="s">
        <v>47</v>
      </c>
      <c r="B51" s="4" t="s">
        <v>46</v>
      </c>
      <c r="C51" s="4" t="s">
        <v>47</v>
      </c>
      <c r="D51" s="4">
        <v>48</v>
      </c>
      <c r="E51" s="4" t="s">
        <v>129</v>
      </c>
      <c r="F51" s="4" t="s">
        <v>49</v>
      </c>
      <c r="G51" s="4" t="s">
        <v>50</v>
      </c>
      <c r="H51" s="4" t="s">
        <v>51</v>
      </c>
      <c r="I51" s="4" t="s">
        <v>52</v>
      </c>
      <c r="J51" s="4">
        <v>4</v>
      </c>
      <c r="K51" s="4" t="s">
        <v>22</v>
      </c>
      <c r="L51" s="5">
        <v>45947</v>
      </c>
      <c r="M51" s="4">
        <v>2500000</v>
      </c>
      <c r="N51" s="4">
        <v>1328400</v>
      </c>
      <c r="O51" s="4">
        <v>13023400</v>
      </c>
      <c r="P51" s="4" t="s">
        <v>75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s="2" customFormat="1" ht="26" x14ac:dyDescent="0.35">
      <c r="A52" s="4" t="s">
        <v>47</v>
      </c>
      <c r="B52" s="4" t="s">
        <v>46</v>
      </c>
      <c r="C52" s="4" t="s">
        <v>47</v>
      </c>
      <c r="D52" s="4">
        <v>49</v>
      </c>
      <c r="E52" s="4" t="s">
        <v>130</v>
      </c>
      <c r="F52" s="4" t="s">
        <v>49</v>
      </c>
      <c r="G52" s="4" t="s">
        <v>50</v>
      </c>
      <c r="H52" s="4" t="s">
        <v>51</v>
      </c>
      <c r="I52" s="4" t="s">
        <v>52</v>
      </c>
      <c r="J52" s="4">
        <v>4</v>
      </c>
      <c r="K52" s="4" t="s">
        <v>22</v>
      </c>
      <c r="L52" s="5">
        <v>45958</v>
      </c>
      <c r="M52" s="4">
        <v>2500000</v>
      </c>
      <c r="N52" s="4">
        <v>1328400</v>
      </c>
      <c r="O52" s="4">
        <v>7568400</v>
      </c>
      <c r="P52" s="4" t="s">
        <v>131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s="2" customFormat="1" ht="26" x14ac:dyDescent="0.35">
      <c r="A53" s="4" t="s">
        <v>47</v>
      </c>
      <c r="B53" s="4" t="s">
        <v>46</v>
      </c>
      <c r="C53" s="4" t="s">
        <v>47</v>
      </c>
      <c r="D53" s="4">
        <v>50</v>
      </c>
      <c r="E53" s="4" t="s">
        <v>132</v>
      </c>
      <c r="F53" s="4" t="s">
        <v>49</v>
      </c>
      <c r="G53" s="4" t="s">
        <v>50</v>
      </c>
      <c r="H53" s="4" t="s">
        <v>51</v>
      </c>
      <c r="I53" s="4" t="s">
        <v>52</v>
      </c>
      <c r="J53" s="4">
        <v>4</v>
      </c>
      <c r="K53" s="4" t="s">
        <v>22</v>
      </c>
      <c r="L53" s="5">
        <v>45958</v>
      </c>
      <c r="M53" s="4">
        <v>2500000</v>
      </c>
      <c r="N53" s="4">
        <v>1328400</v>
      </c>
      <c r="O53" s="4">
        <v>1663400</v>
      </c>
      <c r="P53" s="4" t="s">
        <v>133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s="2" customFormat="1" ht="26" x14ac:dyDescent="0.35">
      <c r="A54" s="12" t="s">
        <v>47</v>
      </c>
      <c r="B54" s="4" t="s">
        <v>46</v>
      </c>
      <c r="C54" s="4" t="s">
        <v>47</v>
      </c>
      <c r="D54" s="4">
        <v>51</v>
      </c>
      <c r="E54" s="4" t="s">
        <v>134</v>
      </c>
      <c r="F54" s="4" t="s">
        <v>49</v>
      </c>
      <c r="G54" s="4" t="s">
        <v>50</v>
      </c>
      <c r="H54" s="4" t="s">
        <v>51</v>
      </c>
      <c r="I54" s="4" t="s">
        <v>52</v>
      </c>
      <c r="J54" s="4">
        <v>3</v>
      </c>
      <c r="K54" s="4" t="s">
        <v>22</v>
      </c>
      <c r="L54" s="5">
        <v>45958</v>
      </c>
      <c r="M54" s="4">
        <v>2500000</v>
      </c>
      <c r="N54" s="4">
        <v>996300</v>
      </c>
      <c r="O54" s="4">
        <v>1096300</v>
      </c>
      <c r="P54" s="4" t="s">
        <v>135</v>
      </c>
      <c r="Q54" s="4" t="s">
        <v>237</v>
      </c>
      <c r="R54" s="4"/>
      <c r="S54" s="4"/>
      <c r="T54" s="5">
        <v>46063</v>
      </c>
      <c r="U54" s="19" t="s">
        <v>272</v>
      </c>
      <c r="V54" s="5">
        <v>46072</v>
      </c>
      <c r="W54" s="4" t="s">
        <v>251</v>
      </c>
      <c r="X54" s="4"/>
      <c r="Y54" s="4"/>
      <c r="Z54" s="4"/>
      <c r="AA54" s="4"/>
      <c r="AB54" s="4"/>
    </row>
    <row r="55" spans="1:28" s="2" customFormat="1" ht="26" x14ac:dyDescent="0.35">
      <c r="A55" s="12" t="s">
        <v>47</v>
      </c>
      <c r="B55" s="4" t="s">
        <v>46</v>
      </c>
      <c r="C55" s="4" t="s">
        <v>47</v>
      </c>
      <c r="D55" s="4">
        <v>52</v>
      </c>
      <c r="E55" s="4" t="s">
        <v>136</v>
      </c>
      <c r="F55" s="4" t="s">
        <v>49</v>
      </c>
      <c r="G55" s="4" t="s">
        <v>50</v>
      </c>
      <c r="H55" s="4" t="s">
        <v>51</v>
      </c>
      <c r="I55" s="4" t="s">
        <v>52</v>
      </c>
      <c r="J55" s="4">
        <v>3</v>
      </c>
      <c r="K55" s="4" t="s">
        <v>22</v>
      </c>
      <c r="L55" s="5">
        <v>45958</v>
      </c>
      <c r="M55" s="4">
        <v>2500000</v>
      </c>
      <c r="N55" s="4">
        <v>996300</v>
      </c>
      <c r="O55" s="4">
        <v>3481300</v>
      </c>
      <c r="P55" s="4" t="s">
        <v>137</v>
      </c>
      <c r="Q55" s="4" t="s">
        <v>237</v>
      </c>
      <c r="R55" s="4"/>
      <c r="S55" s="4"/>
      <c r="T55" s="5">
        <v>46069</v>
      </c>
      <c r="U55" s="19" t="s">
        <v>273</v>
      </c>
      <c r="V55" s="5">
        <v>46073</v>
      </c>
      <c r="W55" s="4" t="s">
        <v>251</v>
      </c>
      <c r="X55" s="4"/>
      <c r="Y55" s="4"/>
      <c r="Z55" s="4"/>
      <c r="AA55" s="4"/>
      <c r="AB55" s="4"/>
    </row>
    <row r="56" spans="1:28" s="2" customFormat="1" ht="26" x14ac:dyDescent="0.35">
      <c r="A56" s="4" t="s">
        <v>47</v>
      </c>
      <c r="B56" s="4" t="s">
        <v>46</v>
      </c>
      <c r="C56" s="4" t="s">
        <v>47</v>
      </c>
      <c r="D56" s="4">
        <v>53</v>
      </c>
      <c r="E56" s="4" t="s">
        <v>138</v>
      </c>
      <c r="F56" s="4" t="s">
        <v>49</v>
      </c>
      <c r="G56" s="4" t="s">
        <v>50</v>
      </c>
      <c r="H56" s="4" t="s">
        <v>51</v>
      </c>
      <c r="I56" s="4" t="s">
        <v>52</v>
      </c>
      <c r="J56" s="4">
        <v>4</v>
      </c>
      <c r="K56" s="4" t="s">
        <v>22</v>
      </c>
      <c r="L56" s="5">
        <v>45958</v>
      </c>
      <c r="M56" s="4">
        <v>2500000</v>
      </c>
      <c r="N56" s="4">
        <v>1328400</v>
      </c>
      <c r="O56" s="4">
        <v>31713400</v>
      </c>
      <c r="P56" s="4" t="s">
        <v>139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s="2" customFormat="1" ht="39" x14ac:dyDescent="0.35">
      <c r="A57" s="4" t="s">
        <v>47</v>
      </c>
      <c r="B57" s="4" t="s">
        <v>46</v>
      </c>
      <c r="C57" s="4" t="s">
        <v>47</v>
      </c>
      <c r="D57" s="4">
        <v>54</v>
      </c>
      <c r="E57" s="4" t="s">
        <v>140</v>
      </c>
      <c r="F57" s="4" t="s">
        <v>49</v>
      </c>
      <c r="G57" s="4" t="s">
        <v>50</v>
      </c>
      <c r="H57" s="4" t="s">
        <v>51</v>
      </c>
      <c r="I57" s="4" t="s">
        <v>52</v>
      </c>
      <c r="J57" s="4">
        <v>4</v>
      </c>
      <c r="K57" s="4" t="s">
        <v>22</v>
      </c>
      <c r="L57" s="5">
        <v>45959</v>
      </c>
      <c r="M57" s="4">
        <v>2500000</v>
      </c>
      <c r="N57" s="4">
        <v>1328400</v>
      </c>
      <c r="O57" s="4">
        <v>27628400</v>
      </c>
      <c r="P57" s="4" t="s">
        <v>141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s="2" customFormat="1" ht="26" x14ac:dyDescent="0.35">
      <c r="A58" s="4" t="s">
        <v>47</v>
      </c>
      <c r="B58" s="4" t="s">
        <v>46</v>
      </c>
      <c r="C58" s="4" t="s">
        <v>47</v>
      </c>
      <c r="D58" s="4">
        <v>55</v>
      </c>
      <c r="E58" s="4" t="s">
        <v>142</v>
      </c>
      <c r="F58" s="4" t="s">
        <v>49</v>
      </c>
      <c r="G58" s="4" t="s">
        <v>50</v>
      </c>
      <c r="H58" s="4" t="s">
        <v>51</v>
      </c>
      <c r="I58" s="4" t="s">
        <v>52</v>
      </c>
      <c r="J58" s="4">
        <v>3.85</v>
      </c>
      <c r="K58" s="4" t="s">
        <v>22</v>
      </c>
      <c r="L58" s="5">
        <v>45959</v>
      </c>
      <c r="M58" s="4">
        <v>2500000</v>
      </c>
      <c r="N58" s="4">
        <v>1278585</v>
      </c>
      <c r="O58" s="4">
        <v>27238585</v>
      </c>
      <c r="P58" s="4" t="s">
        <v>143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s="2" customFormat="1" ht="26" x14ac:dyDescent="0.35">
      <c r="A59" s="4" t="s">
        <v>47</v>
      </c>
      <c r="B59" s="4" t="s">
        <v>46</v>
      </c>
      <c r="C59" s="4" t="s">
        <v>47</v>
      </c>
      <c r="D59" s="4">
        <v>56</v>
      </c>
      <c r="E59" s="4" t="s">
        <v>144</v>
      </c>
      <c r="F59" s="4" t="s">
        <v>49</v>
      </c>
      <c r="G59" s="4" t="s">
        <v>50</v>
      </c>
      <c r="H59" s="4" t="s">
        <v>51</v>
      </c>
      <c r="I59" s="4" t="s">
        <v>52</v>
      </c>
      <c r="J59" s="4">
        <v>1.8</v>
      </c>
      <c r="K59" s="4" t="s">
        <v>22</v>
      </c>
      <c r="L59" s="5">
        <v>45959</v>
      </c>
      <c r="M59" s="4">
        <v>1500000</v>
      </c>
      <c r="N59" s="4">
        <v>597780</v>
      </c>
      <c r="O59" s="4">
        <v>10707780</v>
      </c>
      <c r="P59" s="4" t="s">
        <v>145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s="2" customFormat="1" ht="26" x14ac:dyDescent="0.35">
      <c r="A60" s="4" t="s">
        <v>47</v>
      </c>
      <c r="B60" s="4" t="s">
        <v>46</v>
      </c>
      <c r="C60" s="4" t="s">
        <v>47</v>
      </c>
      <c r="D60" s="4">
        <v>57</v>
      </c>
      <c r="E60" s="4" t="s">
        <v>146</v>
      </c>
      <c r="F60" s="4" t="s">
        <v>49</v>
      </c>
      <c r="G60" s="4" t="s">
        <v>50</v>
      </c>
      <c r="H60" s="4" t="s">
        <v>51</v>
      </c>
      <c r="I60" s="4" t="s">
        <v>52</v>
      </c>
      <c r="J60" s="4">
        <v>2.8</v>
      </c>
      <c r="K60" s="4" t="s">
        <v>22</v>
      </c>
      <c r="L60" s="5">
        <v>45959</v>
      </c>
      <c r="M60" s="4">
        <v>2500000</v>
      </c>
      <c r="N60" s="4">
        <v>929880</v>
      </c>
      <c r="O60" s="4">
        <v>1434880</v>
      </c>
      <c r="P60" s="4" t="s">
        <v>147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s="2" customFormat="1" ht="39" x14ac:dyDescent="0.35">
      <c r="A61" s="4" t="s">
        <v>47</v>
      </c>
      <c r="B61" s="4" t="s">
        <v>46</v>
      </c>
      <c r="C61" s="4" t="s">
        <v>47</v>
      </c>
      <c r="D61" s="4">
        <v>58</v>
      </c>
      <c r="E61" s="4" t="s">
        <v>148</v>
      </c>
      <c r="F61" s="4" t="s">
        <v>49</v>
      </c>
      <c r="G61" s="4" t="s">
        <v>50</v>
      </c>
      <c r="H61" s="4" t="s">
        <v>51</v>
      </c>
      <c r="I61" s="4" t="s">
        <v>52</v>
      </c>
      <c r="J61" s="4">
        <v>4</v>
      </c>
      <c r="K61" s="4" t="s">
        <v>22</v>
      </c>
      <c r="L61" s="5">
        <v>45959</v>
      </c>
      <c r="M61" s="4">
        <v>2500000</v>
      </c>
      <c r="N61" s="4">
        <v>1328400</v>
      </c>
      <c r="O61" s="4">
        <v>1788400</v>
      </c>
      <c r="P61" s="4" t="s">
        <v>149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s="2" customFormat="1" ht="26" x14ac:dyDescent="0.35">
      <c r="A62" s="4" t="s">
        <v>47</v>
      </c>
      <c r="B62" s="4" t="s">
        <v>46</v>
      </c>
      <c r="C62" s="4" t="s">
        <v>47</v>
      </c>
      <c r="D62" s="4">
        <v>59</v>
      </c>
      <c r="E62" s="4" t="s">
        <v>150</v>
      </c>
      <c r="F62" s="4" t="s">
        <v>49</v>
      </c>
      <c r="G62" s="4" t="s">
        <v>50</v>
      </c>
      <c r="H62" s="4" t="s">
        <v>51</v>
      </c>
      <c r="I62" s="4" t="s">
        <v>52</v>
      </c>
      <c r="J62" s="4">
        <v>4</v>
      </c>
      <c r="K62" s="4" t="s">
        <v>22</v>
      </c>
      <c r="L62" s="5">
        <v>45960</v>
      </c>
      <c r="M62" s="4">
        <v>2500000</v>
      </c>
      <c r="N62" s="4">
        <v>1328400</v>
      </c>
      <c r="O62" s="4">
        <v>22033400</v>
      </c>
      <c r="P62" s="4" t="s">
        <v>151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s="2" customFormat="1" ht="26" x14ac:dyDescent="0.35">
      <c r="A63" s="4" t="s">
        <v>47</v>
      </c>
      <c r="B63" s="4" t="s">
        <v>46</v>
      </c>
      <c r="C63" s="4" t="s">
        <v>47</v>
      </c>
      <c r="D63" s="4">
        <v>60</v>
      </c>
      <c r="E63" s="4" t="s">
        <v>152</v>
      </c>
      <c r="F63" s="4" t="s">
        <v>49</v>
      </c>
      <c r="G63" s="4" t="s">
        <v>50</v>
      </c>
      <c r="H63" s="4" t="s">
        <v>51</v>
      </c>
      <c r="I63" s="4" t="s">
        <v>52</v>
      </c>
      <c r="J63" s="4">
        <v>3.95</v>
      </c>
      <c r="K63" s="4" t="s">
        <v>22</v>
      </c>
      <c r="L63" s="5">
        <v>45960</v>
      </c>
      <c r="M63" s="4">
        <v>2500000</v>
      </c>
      <c r="N63" s="4">
        <v>1311795</v>
      </c>
      <c r="O63" s="4">
        <v>9661795</v>
      </c>
      <c r="P63" s="4" t="s">
        <v>153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s="2" customFormat="1" ht="26" x14ac:dyDescent="0.35">
      <c r="A64" s="4" t="s">
        <v>47</v>
      </c>
      <c r="B64" s="4" t="s">
        <v>46</v>
      </c>
      <c r="C64" s="4" t="s">
        <v>47</v>
      </c>
      <c r="D64" s="4">
        <v>61</v>
      </c>
      <c r="E64" s="4" t="s">
        <v>154</v>
      </c>
      <c r="F64" s="4" t="s">
        <v>49</v>
      </c>
      <c r="G64" s="4" t="s">
        <v>50</v>
      </c>
      <c r="H64" s="4" t="s">
        <v>51</v>
      </c>
      <c r="I64" s="4" t="s">
        <v>52</v>
      </c>
      <c r="J64" s="4">
        <v>2.4500000000000002</v>
      </c>
      <c r="K64" s="4" t="s">
        <v>22</v>
      </c>
      <c r="L64" s="5">
        <v>45960</v>
      </c>
      <c r="M64" s="4">
        <v>2500000</v>
      </c>
      <c r="N64" s="4">
        <v>813645</v>
      </c>
      <c r="O64" s="4">
        <v>4048645</v>
      </c>
      <c r="P64" s="4" t="s">
        <v>135</v>
      </c>
      <c r="Q64" s="4" t="s">
        <v>237</v>
      </c>
      <c r="R64" s="4"/>
      <c r="S64" s="4"/>
      <c r="T64" s="5">
        <v>46064</v>
      </c>
      <c r="U64" s="19" t="s">
        <v>274</v>
      </c>
      <c r="V64" s="5">
        <v>46072</v>
      </c>
      <c r="W64" s="4" t="s">
        <v>251</v>
      </c>
      <c r="X64" s="4"/>
      <c r="Y64" s="4"/>
      <c r="Z64" s="4"/>
      <c r="AA64" s="4"/>
      <c r="AB64" s="4"/>
    </row>
    <row r="65" spans="1:28" s="2" customFormat="1" ht="26" x14ac:dyDescent="0.35">
      <c r="A65" s="4" t="s">
        <v>47</v>
      </c>
      <c r="B65" s="4" t="s">
        <v>46</v>
      </c>
      <c r="C65" s="4" t="s">
        <v>47</v>
      </c>
      <c r="D65" s="4">
        <v>62</v>
      </c>
      <c r="E65" s="4" t="s">
        <v>155</v>
      </c>
      <c r="F65" s="4" t="s">
        <v>49</v>
      </c>
      <c r="G65" s="4" t="s">
        <v>50</v>
      </c>
      <c r="H65" s="4" t="s">
        <v>51</v>
      </c>
      <c r="I65" s="4" t="s">
        <v>52</v>
      </c>
      <c r="J65" s="4">
        <v>2.0499999999999998</v>
      </c>
      <c r="K65" s="4" t="s">
        <v>22</v>
      </c>
      <c r="L65" s="5">
        <v>45960</v>
      </c>
      <c r="M65" s="4">
        <v>2500000</v>
      </c>
      <c r="N65" s="4">
        <v>680805</v>
      </c>
      <c r="O65" s="4">
        <v>1640805</v>
      </c>
      <c r="P65" s="4" t="s">
        <v>156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s="2" customFormat="1" ht="26" x14ac:dyDescent="0.35">
      <c r="A66" s="4" t="s">
        <v>47</v>
      </c>
      <c r="B66" s="4" t="s">
        <v>46</v>
      </c>
      <c r="C66" s="4" t="s">
        <v>47</v>
      </c>
      <c r="D66" s="4">
        <v>63</v>
      </c>
      <c r="E66" s="4" t="s">
        <v>157</v>
      </c>
      <c r="F66" s="4" t="s">
        <v>49</v>
      </c>
      <c r="G66" s="4" t="s">
        <v>50</v>
      </c>
      <c r="H66" s="4" t="s">
        <v>51</v>
      </c>
      <c r="I66" s="4" t="s">
        <v>52</v>
      </c>
      <c r="J66" s="4">
        <v>1.95</v>
      </c>
      <c r="K66" s="4" t="s">
        <v>22</v>
      </c>
      <c r="L66" s="5">
        <v>45960</v>
      </c>
      <c r="M66" s="4">
        <v>1500000</v>
      </c>
      <c r="N66" s="4">
        <v>647595</v>
      </c>
      <c r="O66" s="4">
        <v>1392595</v>
      </c>
      <c r="P66" s="4" t="s">
        <v>77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s="2" customFormat="1" ht="26" x14ac:dyDescent="0.35">
      <c r="A67" s="4" t="s">
        <v>47</v>
      </c>
      <c r="B67" s="4" t="s">
        <v>46</v>
      </c>
      <c r="C67" s="4" t="s">
        <v>47</v>
      </c>
      <c r="D67" s="4">
        <v>64</v>
      </c>
      <c r="E67" s="4" t="s">
        <v>158</v>
      </c>
      <c r="F67" s="4" t="s">
        <v>49</v>
      </c>
      <c r="G67" s="4" t="s">
        <v>50</v>
      </c>
      <c r="H67" s="4" t="s">
        <v>51</v>
      </c>
      <c r="I67" s="4" t="s">
        <v>52</v>
      </c>
      <c r="J67" s="4">
        <v>4</v>
      </c>
      <c r="K67" s="4" t="s">
        <v>22</v>
      </c>
      <c r="L67" s="5">
        <v>45961</v>
      </c>
      <c r="M67" s="4">
        <v>2500000</v>
      </c>
      <c r="N67" s="4">
        <v>1328400</v>
      </c>
      <c r="O67" s="4">
        <v>11533400</v>
      </c>
      <c r="P67" s="4" t="s">
        <v>126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s="2" customFormat="1" ht="26" x14ac:dyDescent="0.35">
      <c r="A68" s="4" t="s">
        <v>47</v>
      </c>
      <c r="B68" s="4" t="s">
        <v>46</v>
      </c>
      <c r="C68" s="4" t="s">
        <v>47</v>
      </c>
      <c r="D68" s="4">
        <v>65</v>
      </c>
      <c r="E68" s="4" t="s">
        <v>159</v>
      </c>
      <c r="F68" s="4" t="s">
        <v>49</v>
      </c>
      <c r="G68" s="4" t="s">
        <v>50</v>
      </c>
      <c r="H68" s="4" t="s">
        <v>51</v>
      </c>
      <c r="I68" s="4" t="s">
        <v>52</v>
      </c>
      <c r="J68" s="4">
        <v>3.5</v>
      </c>
      <c r="K68" s="4" t="s">
        <v>22</v>
      </c>
      <c r="L68" s="5">
        <v>45961</v>
      </c>
      <c r="M68" s="4">
        <v>2500000</v>
      </c>
      <c r="N68" s="4">
        <v>1162350</v>
      </c>
      <c r="O68" s="4">
        <v>5002350</v>
      </c>
      <c r="P68" s="4" t="s">
        <v>31</v>
      </c>
      <c r="Q68" s="4" t="s">
        <v>237</v>
      </c>
      <c r="R68" s="4"/>
      <c r="S68" s="4"/>
      <c r="T68" s="5">
        <v>46043</v>
      </c>
      <c r="U68" s="19" t="s">
        <v>275</v>
      </c>
      <c r="V68" s="5">
        <v>46051</v>
      </c>
      <c r="W68" s="4" t="s">
        <v>251</v>
      </c>
      <c r="X68" s="4"/>
      <c r="Y68" s="4"/>
      <c r="Z68" s="4"/>
      <c r="AA68" s="4"/>
      <c r="AB68" s="4"/>
    </row>
    <row r="69" spans="1:28" s="2" customFormat="1" ht="26" x14ac:dyDescent="0.35">
      <c r="A69" s="4" t="s">
        <v>47</v>
      </c>
      <c r="B69" s="4" t="s">
        <v>46</v>
      </c>
      <c r="C69" s="4" t="s">
        <v>47</v>
      </c>
      <c r="D69" s="4">
        <v>66</v>
      </c>
      <c r="E69" s="4" t="s">
        <v>160</v>
      </c>
      <c r="F69" s="4" t="s">
        <v>49</v>
      </c>
      <c r="G69" s="4" t="s">
        <v>50</v>
      </c>
      <c r="H69" s="4" t="s">
        <v>51</v>
      </c>
      <c r="I69" s="4" t="s">
        <v>52</v>
      </c>
      <c r="J69" s="4">
        <v>2.35</v>
      </c>
      <c r="K69" s="4" t="s">
        <v>22</v>
      </c>
      <c r="L69" s="5">
        <v>45961</v>
      </c>
      <c r="M69" s="4">
        <v>2500000</v>
      </c>
      <c r="N69" s="4">
        <v>780435</v>
      </c>
      <c r="O69" s="4">
        <v>9045435</v>
      </c>
      <c r="P69" s="4" t="s">
        <v>161</v>
      </c>
      <c r="Q69" s="4" t="s">
        <v>237</v>
      </c>
      <c r="R69" s="4"/>
      <c r="S69" s="4"/>
      <c r="T69" s="5">
        <v>46069</v>
      </c>
      <c r="U69" s="19" t="s">
        <v>276</v>
      </c>
      <c r="V69" s="5">
        <v>46072</v>
      </c>
      <c r="W69" s="4" t="s">
        <v>251</v>
      </c>
      <c r="X69" s="4"/>
      <c r="Y69" s="4"/>
      <c r="Z69" s="4"/>
      <c r="AA69" s="4"/>
      <c r="AB69" s="4"/>
    </row>
    <row r="70" spans="1:28" s="11" customFormat="1" ht="39" x14ac:dyDescent="0.35">
      <c r="A70" s="12" t="s">
        <v>16</v>
      </c>
      <c r="B70" s="9" t="s">
        <v>15</v>
      </c>
      <c r="C70" s="9" t="s">
        <v>16</v>
      </c>
      <c r="D70" s="9">
        <v>67</v>
      </c>
      <c r="E70" s="9" t="s">
        <v>162</v>
      </c>
      <c r="F70" s="9" t="s">
        <v>163</v>
      </c>
      <c r="G70" s="9" t="s">
        <v>164</v>
      </c>
      <c r="H70" s="9" t="s">
        <v>40</v>
      </c>
      <c r="I70" s="9" t="s">
        <v>41</v>
      </c>
      <c r="J70" s="9">
        <v>1</v>
      </c>
      <c r="K70" s="9" t="s">
        <v>22</v>
      </c>
      <c r="L70" s="10">
        <v>46086</v>
      </c>
      <c r="M70" s="9">
        <v>1000000</v>
      </c>
      <c r="N70" s="9">
        <v>638880</v>
      </c>
      <c r="O70" s="9">
        <v>4613880</v>
      </c>
      <c r="P70" s="9" t="s">
        <v>165</v>
      </c>
      <c r="Q70" s="9" t="s">
        <v>243</v>
      </c>
      <c r="R70" s="9"/>
      <c r="S70" s="9"/>
      <c r="T70" s="9"/>
      <c r="U70" s="9"/>
      <c r="V70" s="9"/>
      <c r="W70" s="9"/>
      <c r="X70" s="9"/>
      <c r="Y70" s="10">
        <v>45847</v>
      </c>
      <c r="Z70" s="17" t="s">
        <v>255</v>
      </c>
      <c r="AA70" s="10">
        <v>45999</v>
      </c>
      <c r="AB70" s="9" t="s">
        <v>259</v>
      </c>
    </row>
    <row r="71" spans="1:28" s="11" customFormat="1" ht="39" x14ac:dyDescent="0.35">
      <c r="A71" s="12" t="s">
        <v>16</v>
      </c>
      <c r="B71" s="9" t="s">
        <v>15</v>
      </c>
      <c r="C71" s="9" t="s">
        <v>16</v>
      </c>
      <c r="D71" s="9">
        <v>68</v>
      </c>
      <c r="E71" s="9" t="s">
        <v>166</v>
      </c>
      <c r="F71" s="9" t="s">
        <v>163</v>
      </c>
      <c r="G71" s="9" t="s">
        <v>164</v>
      </c>
      <c r="H71" s="9" t="s">
        <v>40</v>
      </c>
      <c r="I71" s="9" t="s">
        <v>41</v>
      </c>
      <c r="J71" s="9">
        <v>1</v>
      </c>
      <c r="K71" s="9" t="s">
        <v>22</v>
      </c>
      <c r="L71" s="10">
        <v>46086</v>
      </c>
      <c r="M71" s="9">
        <v>1000000</v>
      </c>
      <c r="N71" s="9">
        <v>638880</v>
      </c>
      <c r="O71" s="9">
        <v>4508880</v>
      </c>
      <c r="P71" s="9" t="s">
        <v>167</v>
      </c>
      <c r="Q71" s="9" t="s">
        <v>243</v>
      </c>
      <c r="R71" s="9"/>
      <c r="S71" s="9"/>
      <c r="T71" s="9"/>
      <c r="U71" s="9"/>
      <c r="V71" s="9"/>
      <c r="W71" s="9"/>
      <c r="X71" s="9"/>
      <c r="Y71" s="10">
        <v>45847</v>
      </c>
      <c r="Z71" s="18" t="s">
        <v>258</v>
      </c>
      <c r="AA71" s="10">
        <v>45999</v>
      </c>
      <c r="AB71" s="9" t="s">
        <v>259</v>
      </c>
    </row>
    <row r="72" spans="1:28" s="2" customFormat="1" ht="26" x14ac:dyDescent="0.35">
      <c r="A72" s="4" t="s">
        <v>16</v>
      </c>
      <c r="B72" s="4" t="s">
        <v>15</v>
      </c>
      <c r="C72" s="4" t="s">
        <v>16</v>
      </c>
      <c r="D72" s="4">
        <v>69</v>
      </c>
      <c r="E72" s="4" t="s">
        <v>168</v>
      </c>
      <c r="F72" s="4" t="s">
        <v>169</v>
      </c>
      <c r="G72" s="4" t="s">
        <v>170</v>
      </c>
      <c r="H72" s="4" t="s">
        <v>40</v>
      </c>
      <c r="I72" s="4" t="s">
        <v>41</v>
      </c>
      <c r="J72" s="4">
        <v>1</v>
      </c>
      <c r="K72" s="4" t="s">
        <v>22</v>
      </c>
      <c r="L72" s="5">
        <v>46086</v>
      </c>
      <c r="M72" s="4">
        <v>1000000</v>
      </c>
      <c r="N72" s="4">
        <v>638880</v>
      </c>
      <c r="O72" s="4">
        <v>269083880</v>
      </c>
      <c r="P72" s="4" t="s">
        <v>171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s="2" customFormat="1" ht="25.5" customHeight="1" x14ac:dyDescent="0.35">
      <c r="A73" s="4" t="s">
        <v>16</v>
      </c>
      <c r="B73" s="4" t="s">
        <v>15</v>
      </c>
      <c r="C73" s="4" t="s">
        <v>16</v>
      </c>
      <c r="D73" s="4">
        <v>70</v>
      </c>
      <c r="E73" s="4" t="s">
        <v>172</v>
      </c>
      <c r="F73" s="4" t="s">
        <v>169</v>
      </c>
      <c r="G73" s="4" t="s">
        <v>170</v>
      </c>
      <c r="H73" s="4" t="s">
        <v>40</v>
      </c>
      <c r="I73" s="4" t="s">
        <v>41</v>
      </c>
      <c r="J73" s="4">
        <v>1</v>
      </c>
      <c r="K73" s="4" t="s">
        <v>22</v>
      </c>
      <c r="L73" s="5">
        <v>46086</v>
      </c>
      <c r="M73" s="4">
        <v>1000000</v>
      </c>
      <c r="N73" s="4">
        <v>638880</v>
      </c>
      <c r="O73" s="4">
        <v>668880</v>
      </c>
      <c r="P73" s="4" t="s">
        <v>173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s="2" customFormat="1" ht="26" x14ac:dyDescent="0.35">
      <c r="A74" s="4" t="s">
        <v>16</v>
      </c>
      <c r="B74" s="4" t="s">
        <v>15</v>
      </c>
      <c r="C74" s="4" t="s">
        <v>16</v>
      </c>
      <c r="D74" s="4">
        <v>71</v>
      </c>
      <c r="E74" s="4" t="s">
        <v>174</v>
      </c>
      <c r="F74" s="4" t="s">
        <v>169</v>
      </c>
      <c r="G74" s="4" t="s">
        <v>170</v>
      </c>
      <c r="H74" s="4" t="s">
        <v>40</v>
      </c>
      <c r="I74" s="4" t="s">
        <v>41</v>
      </c>
      <c r="J74" s="4">
        <v>1</v>
      </c>
      <c r="K74" s="4" t="s">
        <v>22</v>
      </c>
      <c r="L74" s="5">
        <v>46086</v>
      </c>
      <c r="M74" s="4">
        <v>1000000</v>
      </c>
      <c r="N74" s="4">
        <v>638880</v>
      </c>
      <c r="O74" s="4">
        <v>653880</v>
      </c>
      <c r="P74" s="4" t="s">
        <v>175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s="2" customFormat="1" ht="26" x14ac:dyDescent="0.35">
      <c r="A75" s="4" t="s">
        <v>16</v>
      </c>
      <c r="B75" s="4" t="s">
        <v>15</v>
      </c>
      <c r="C75" s="4" t="s">
        <v>16</v>
      </c>
      <c r="D75" s="4">
        <v>72</v>
      </c>
      <c r="E75" s="4" t="s">
        <v>176</v>
      </c>
      <c r="F75" s="4" t="s">
        <v>169</v>
      </c>
      <c r="G75" s="4" t="s">
        <v>170</v>
      </c>
      <c r="H75" s="4" t="s">
        <v>40</v>
      </c>
      <c r="I75" s="4" t="s">
        <v>41</v>
      </c>
      <c r="J75" s="4">
        <v>1</v>
      </c>
      <c r="K75" s="4" t="s">
        <v>22</v>
      </c>
      <c r="L75" s="5">
        <v>46086</v>
      </c>
      <c r="M75" s="4">
        <v>1000000</v>
      </c>
      <c r="N75" s="4">
        <v>638880</v>
      </c>
      <c r="O75" s="4">
        <v>80183880</v>
      </c>
      <c r="P75" s="4" t="s">
        <v>177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s="2" customFormat="1" ht="39" x14ac:dyDescent="0.35">
      <c r="A76" s="4" t="s">
        <v>16</v>
      </c>
      <c r="B76" s="4" t="s">
        <v>15</v>
      </c>
      <c r="C76" s="4" t="s">
        <v>16</v>
      </c>
      <c r="D76" s="4">
        <v>73</v>
      </c>
      <c r="E76" s="4" t="s">
        <v>178</v>
      </c>
      <c r="F76" s="4" t="s">
        <v>169</v>
      </c>
      <c r="G76" s="4" t="s">
        <v>170</v>
      </c>
      <c r="H76" s="4" t="s">
        <v>40</v>
      </c>
      <c r="I76" s="4" t="s">
        <v>41</v>
      </c>
      <c r="J76" s="4">
        <v>1</v>
      </c>
      <c r="K76" s="4" t="s">
        <v>22</v>
      </c>
      <c r="L76" s="5">
        <v>46086</v>
      </c>
      <c r="M76" s="4">
        <v>1000000</v>
      </c>
      <c r="N76" s="4">
        <v>638880</v>
      </c>
      <c r="O76" s="4">
        <v>32683880</v>
      </c>
      <c r="P76" s="4" t="s">
        <v>179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s="2" customFormat="1" ht="26" x14ac:dyDescent="0.35">
      <c r="A77" s="4" t="s">
        <v>16</v>
      </c>
      <c r="B77" s="4" t="s">
        <v>15</v>
      </c>
      <c r="C77" s="4" t="s">
        <v>16</v>
      </c>
      <c r="D77" s="4">
        <v>74</v>
      </c>
      <c r="E77" s="4" t="s">
        <v>180</v>
      </c>
      <c r="F77" s="4" t="s">
        <v>169</v>
      </c>
      <c r="G77" s="4" t="s">
        <v>170</v>
      </c>
      <c r="H77" s="4" t="s">
        <v>40</v>
      </c>
      <c r="I77" s="4" t="s">
        <v>41</v>
      </c>
      <c r="J77" s="4">
        <v>1</v>
      </c>
      <c r="K77" s="4" t="s">
        <v>22</v>
      </c>
      <c r="L77" s="5">
        <v>46086</v>
      </c>
      <c r="M77" s="4">
        <v>1000000</v>
      </c>
      <c r="N77" s="4">
        <v>638880</v>
      </c>
      <c r="O77" s="4">
        <v>227493880</v>
      </c>
      <c r="P77" s="4" t="s">
        <v>181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s="2" customFormat="1" ht="39" x14ac:dyDescent="0.35">
      <c r="A78" s="4" t="s">
        <v>16</v>
      </c>
      <c r="B78" s="4" t="s">
        <v>15</v>
      </c>
      <c r="C78" s="4" t="s">
        <v>16</v>
      </c>
      <c r="D78" s="4">
        <v>75</v>
      </c>
      <c r="E78" s="4" t="s">
        <v>182</v>
      </c>
      <c r="F78" s="4" t="s">
        <v>169</v>
      </c>
      <c r="G78" s="4" t="s">
        <v>170</v>
      </c>
      <c r="H78" s="4" t="s">
        <v>40</v>
      </c>
      <c r="I78" s="4" t="s">
        <v>41</v>
      </c>
      <c r="J78" s="4">
        <v>1</v>
      </c>
      <c r="K78" s="4" t="s">
        <v>22</v>
      </c>
      <c r="L78" s="5">
        <v>46086</v>
      </c>
      <c r="M78" s="4">
        <v>1000000</v>
      </c>
      <c r="N78" s="4">
        <v>638880</v>
      </c>
      <c r="O78" s="4">
        <v>16098880</v>
      </c>
      <c r="P78" s="4" t="s">
        <v>183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s="2" customFormat="1" ht="26" x14ac:dyDescent="0.35">
      <c r="A79" s="4" t="s">
        <v>16</v>
      </c>
      <c r="B79" s="4" t="s">
        <v>15</v>
      </c>
      <c r="C79" s="4" t="s">
        <v>16</v>
      </c>
      <c r="D79" s="4">
        <v>76</v>
      </c>
      <c r="E79" s="4" t="s">
        <v>184</v>
      </c>
      <c r="F79" s="4" t="s">
        <v>169</v>
      </c>
      <c r="G79" s="4" t="s">
        <v>170</v>
      </c>
      <c r="H79" s="4" t="s">
        <v>40</v>
      </c>
      <c r="I79" s="4" t="s">
        <v>41</v>
      </c>
      <c r="J79" s="4">
        <v>1</v>
      </c>
      <c r="K79" s="4" t="s">
        <v>22</v>
      </c>
      <c r="L79" s="5">
        <v>46086</v>
      </c>
      <c r="M79" s="4">
        <v>1000000</v>
      </c>
      <c r="N79" s="4">
        <v>638880</v>
      </c>
      <c r="O79" s="4">
        <v>8083880</v>
      </c>
      <c r="P79" s="4" t="s">
        <v>185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s="2" customFormat="1" ht="26" x14ac:dyDescent="0.35">
      <c r="A80" s="4" t="s">
        <v>16</v>
      </c>
      <c r="B80" s="4" t="s">
        <v>15</v>
      </c>
      <c r="C80" s="4" t="s">
        <v>16</v>
      </c>
      <c r="D80" s="4">
        <v>77</v>
      </c>
      <c r="E80" s="4" t="s">
        <v>186</v>
      </c>
      <c r="F80" s="4" t="s">
        <v>169</v>
      </c>
      <c r="G80" s="4" t="s">
        <v>170</v>
      </c>
      <c r="H80" s="4" t="s">
        <v>40</v>
      </c>
      <c r="I80" s="4" t="s">
        <v>41</v>
      </c>
      <c r="J80" s="4">
        <v>1</v>
      </c>
      <c r="K80" s="4" t="s">
        <v>22</v>
      </c>
      <c r="L80" s="5">
        <v>46086</v>
      </c>
      <c r="M80" s="4">
        <v>1000000</v>
      </c>
      <c r="N80" s="4">
        <v>638880</v>
      </c>
      <c r="O80" s="4">
        <v>648880</v>
      </c>
      <c r="P80" s="4" t="s">
        <v>185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s="2" customFormat="1" ht="26" x14ac:dyDescent="0.35">
      <c r="A81" s="4" t="s">
        <v>16</v>
      </c>
      <c r="B81" s="4" t="s">
        <v>15</v>
      </c>
      <c r="C81" s="4" t="s">
        <v>16</v>
      </c>
      <c r="D81" s="4">
        <v>78</v>
      </c>
      <c r="E81" s="4" t="s">
        <v>187</v>
      </c>
      <c r="F81" s="4" t="s">
        <v>169</v>
      </c>
      <c r="G81" s="4" t="s">
        <v>170</v>
      </c>
      <c r="H81" s="4" t="s">
        <v>40</v>
      </c>
      <c r="I81" s="4" t="s">
        <v>41</v>
      </c>
      <c r="J81" s="4">
        <v>1.0955999999999999</v>
      </c>
      <c r="K81" s="4" t="s">
        <v>22</v>
      </c>
      <c r="L81" s="5">
        <v>46086</v>
      </c>
      <c r="M81" s="4">
        <v>1500000</v>
      </c>
      <c r="N81" s="4">
        <v>699960</v>
      </c>
      <c r="O81" s="4">
        <v>49324960</v>
      </c>
      <c r="P81" s="4" t="s">
        <v>188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s="2" customFormat="1" ht="26" x14ac:dyDescent="0.35">
      <c r="A82" s="4" t="s">
        <v>16</v>
      </c>
      <c r="B82" s="4" t="s">
        <v>15</v>
      </c>
      <c r="C82" s="4" t="s">
        <v>16</v>
      </c>
      <c r="D82" s="4">
        <v>79</v>
      </c>
      <c r="E82" s="4" t="s">
        <v>189</v>
      </c>
      <c r="F82" s="4" t="s">
        <v>169</v>
      </c>
      <c r="G82" s="4" t="s">
        <v>170</v>
      </c>
      <c r="H82" s="4" t="s">
        <v>40</v>
      </c>
      <c r="I82" s="4" t="s">
        <v>41</v>
      </c>
      <c r="J82" s="4">
        <v>1.7214</v>
      </c>
      <c r="K82" s="4" t="s">
        <v>22</v>
      </c>
      <c r="L82" s="5">
        <v>46086</v>
      </c>
      <c r="M82" s="4">
        <v>1500000</v>
      </c>
      <c r="N82" s="4">
        <v>1099770</v>
      </c>
      <c r="O82" s="4">
        <v>60044770</v>
      </c>
      <c r="P82" s="4" t="s">
        <v>190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s="11" customFormat="1" ht="39" x14ac:dyDescent="0.35">
      <c r="A83" s="12" t="s">
        <v>16</v>
      </c>
      <c r="B83" s="9" t="s">
        <v>15</v>
      </c>
      <c r="C83" s="9" t="s">
        <v>16</v>
      </c>
      <c r="D83" s="9">
        <v>80</v>
      </c>
      <c r="E83" s="9" t="s">
        <v>191</v>
      </c>
      <c r="F83" s="9" t="s">
        <v>163</v>
      </c>
      <c r="G83" s="9" t="s">
        <v>164</v>
      </c>
      <c r="H83" s="9" t="s">
        <v>40</v>
      </c>
      <c r="I83" s="9" t="s">
        <v>41</v>
      </c>
      <c r="J83" s="9">
        <v>1</v>
      </c>
      <c r="K83" s="9" t="s">
        <v>22</v>
      </c>
      <c r="L83" s="10">
        <v>46087</v>
      </c>
      <c r="M83" s="9">
        <v>1000000</v>
      </c>
      <c r="N83" s="9">
        <v>638880</v>
      </c>
      <c r="O83" s="9">
        <v>5103880</v>
      </c>
      <c r="P83" s="9" t="s">
        <v>192</v>
      </c>
      <c r="Q83" s="9" t="s">
        <v>243</v>
      </c>
      <c r="R83" s="9"/>
      <c r="S83" s="9"/>
      <c r="T83" s="9"/>
      <c r="U83" s="9"/>
      <c r="V83" s="9"/>
      <c r="W83" s="9"/>
      <c r="X83" s="9"/>
      <c r="Y83" s="10">
        <v>45847</v>
      </c>
      <c r="Z83" s="16" t="s">
        <v>257</v>
      </c>
      <c r="AA83" s="10">
        <v>45999</v>
      </c>
      <c r="AB83" s="9" t="s">
        <v>259</v>
      </c>
    </row>
    <row r="84" spans="1:28" s="11" customFormat="1" ht="39" x14ac:dyDescent="0.35">
      <c r="A84" s="12" t="s">
        <v>16</v>
      </c>
      <c r="B84" s="9" t="s">
        <v>15</v>
      </c>
      <c r="C84" s="9" t="s">
        <v>16</v>
      </c>
      <c r="D84" s="9">
        <v>81</v>
      </c>
      <c r="E84" s="9" t="s">
        <v>193</v>
      </c>
      <c r="F84" s="9" t="s">
        <v>163</v>
      </c>
      <c r="G84" s="9" t="s">
        <v>164</v>
      </c>
      <c r="H84" s="9" t="s">
        <v>40</v>
      </c>
      <c r="I84" s="9" t="s">
        <v>41</v>
      </c>
      <c r="J84" s="9">
        <v>1</v>
      </c>
      <c r="K84" s="9" t="s">
        <v>22</v>
      </c>
      <c r="L84" s="10">
        <v>46087</v>
      </c>
      <c r="M84" s="9">
        <v>1000000</v>
      </c>
      <c r="N84" s="9">
        <v>638880</v>
      </c>
      <c r="O84" s="9">
        <v>5158880</v>
      </c>
      <c r="P84" s="9" t="s">
        <v>194</v>
      </c>
      <c r="Q84" s="9" t="s">
        <v>243</v>
      </c>
      <c r="R84" s="9"/>
      <c r="S84" s="9"/>
      <c r="T84" s="9"/>
      <c r="U84" s="9"/>
      <c r="V84" s="9"/>
      <c r="W84" s="9"/>
      <c r="X84" s="9"/>
      <c r="Y84" s="10">
        <v>45847</v>
      </c>
      <c r="Z84" s="22" t="s">
        <v>256</v>
      </c>
      <c r="AA84" s="10">
        <v>46019</v>
      </c>
      <c r="AB84" s="9" t="s">
        <v>259</v>
      </c>
    </row>
    <row r="85" spans="1:28" s="11" customFormat="1" ht="39" x14ac:dyDescent="0.35">
      <c r="A85" s="12" t="s">
        <v>16</v>
      </c>
      <c r="B85" s="9" t="s">
        <v>15</v>
      </c>
      <c r="C85" s="9" t="s">
        <v>16</v>
      </c>
      <c r="D85" s="9">
        <v>82</v>
      </c>
      <c r="E85" s="9" t="s">
        <v>195</v>
      </c>
      <c r="F85" s="9" t="s">
        <v>163</v>
      </c>
      <c r="G85" s="9" t="s">
        <v>164</v>
      </c>
      <c r="H85" s="9" t="s">
        <v>40</v>
      </c>
      <c r="I85" s="9" t="s">
        <v>41</v>
      </c>
      <c r="J85" s="9">
        <v>1</v>
      </c>
      <c r="K85" s="9" t="s">
        <v>22</v>
      </c>
      <c r="L85" s="10">
        <v>46087</v>
      </c>
      <c r="M85" s="9">
        <v>1000000</v>
      </c>
      <c r="N85" s="9">
        <v>638880</v>
      </c>
      <c r="O85" s="9">
        <v>5158880</v>
      </c>
      <c r="P85" s="9" t="s">
        <v>196</v>
      </c>
      <c r="Q85" s="9" t="s">
        <v>243</v>
      </c>
      <c r="R85" s="9"/>
      <c r="S85" s="9"/>
      <c r="T85" s="9"/>
      <c r="U85" s="9"/>
      <c r="V85" s="9"/>
      <c r="W85" s="9"/>
      <c r="X85" s="9"/>
      <c r="Y85" s="10">
        <v>45847</v>
      </c>
      <c r="Z85" s="22" t="s">
        <v>260</v>
      </c>
      <c r="AA85" s="10">
        <v>45999</v>
      </c>
      <c r="AB85" s="9" t="s">
        <v>259</v>
      </c>
    </row>
    <row r="86" spans="1:28" s="2" customFormat="1" ht="26" x14ac:dyDescent="0.35">
      <c r="A86" s="4" t="s">
        <v>16</v>
      </c>
      <c r="B86" s="4" t="s">
        <v>15</v>
      </c>
      <c r="C86" s="4" t="s">
        <v>16</v>
      </c>
      <c r="D86" s="4">
        <v>83</v>
      </c>
      <c r="E86" s="4" t="s">
        <v>197</v>
      </c>
      <c r="F86" s="4" t="s">
        <v>169</v>
      </c>
      <c r="G86" s="4" t="s">
        <v>170</v>
      </c>
      <c r="H86" s="4" t="s">
        <v>40</v>
      </c>
      <c r="I86" s="4" t="s">
        <v>41</v>
      </c>
      <c r="J86" s="4">
        <v>1</v>
      </c>
      <c r="K86" s="4" t="s">
        <v>22</v>
      </c>
      <c r="L86" s="5">
        <v>46087</v>
      </c>
      <c r="M86" s="4">
        <v>1000000</v>
      </c>
      <c r="N86" s="4">
        <v>638880</v>
      </c>
      <c r="O86" s="4">
        <v>32203880</v>
      </c>
      <c r="P86" s="4" t="s">
        <v>198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s="2" customFormat="1" ht="26" x14ac:dyDescent="0.35">
      <c r="A87" s="4" t="s">
        <v>16</v>
      </c>
      <c r="B87" s="4" t="s">
        <v>15</v>
      </c>
      <c r="C87" s="4" t="s">
        <v>16</v>
      </c>
      <c r="D87" s="4">
        <v>84</v>
      </c>
      <c r="E87" s="4" t="s">
        <v>199</v>
      </c>
      <c r="F87" s="4" t="s">
        <v>169</v>
      </c>
      <c r="G87" s="4" t="s">
        <v>170</v>
      </c>
      <c r="H87" s="4" t="s">
        <v>40</v>
      </c>
      <c r="I87" s="4" t="s">
        <v>41</v>
      </c>
      <c r="J87" s="4">
        <v>1</v>
      </c>
      <c r="K87" s="4" t="s">
        <v>22</v>
      </c>
      <c r="L87" s="5">
        <v>46087</v>
      </c>
      <c r="M87" s="4">
        <v>1000000</v>
      </c>
      <c r="N87" s="4">
        <v>638880</v>
      </c>
      <c r="O87" s="4">
        <v>200038880</v>
      </c>
      <c r="P87" s="4" t="s">
        <v>200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s="2" customFormat="1" ht="26" x14ac:dyDescent="0.35">
      <c r="A88" s="4" t="s">
        <v>16</v>
      </c>
      <c r="B88" s="4" t="s">
        <v>15</v>
      </c>
      <c r="C88" s="4" t="s">
        <v>16</v>
      </c>
      <c r="D88" s="4">
        <v>85</v>
      </c>
      <c r="E88" s="4" t="s">
        <v>201</v>
      </c>
      <c r="F88" s="4" t="s">
        <v>169</v>
      </c>
      <c r="G88" s="4" t="s">
        <v>170</v>
      </c>
      <c r="H88" s="4" t="s">
        <v>40</v>
      </c>
      <c r="I88" s="4" t="s">
        <v>41</v>
      </c>
      <c r="J88" s="4">
        <v>1</v>
      </c>
      <c r="K88" s="4" t="s">
        <v>22</v>
      </c>
      <c r="L88" s="5">
        <v>46087</v>
      </c>
      <c r="M88" s="4">
        <v>1000000</v>
      </c>
      <c r="N88" s="4">
        <v>638880</v>
      </c>
      <c r="O88" s="4">
        <v>6023880</v>
      </c>
      <c r="P88" s="4" t="s">
        <v>202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s="2" customFormat="1" ht="39" x14ac:dyDescent="0.35">
      <c r="A89" s="4" t="s">
        <v>16</v>
      </c>
      <c r="B89" s="4" t="s">
        <v>15</v>
      </c>
      <c r="C89" s="4" t="s">
        <v>16</v>
      </c>
      <c r="D89" s="4">
        <v>86</v>
      </c>
      <c r="E89" s="4" t="s">
        <v>203</v>
      </c>
      <c r="F89" s="4" t="s">
        <v>169</v>
      </c>
      <c r="G89" s="4" t="s">
        <v>170</v>
      </c>
      <c r="H89" s="4" t="s">
        <v>40</v>
      </c>
      <c r="I89" s="4" t="s">
        <v>41</v>
      </c>
      <c r="J89" s="4">
        <v>1</v>
      </c>
      <c r="K89" s="4" t="s">
        <v>22</v>
      </c>
      <c r="L89" s="5">
        <v>46087</v>
      </c>
      <c r="M89" s="4">
        <v>1000000</v>
      </c>
      <c r="N89" s="4">
        <v>638880</v>
      </c>
      <c r="O89" s="4">
        <v>1158880</v>
      </c>
      <c r="P89" s="4" t="s">
        <v>204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s="2" customFormat="1" ht="26" x14ac:dyDescent="0.35">
      <c r="A90" s="4" t="s">
        <v>16</v>
      </c>
      <c r="B90" s="4" t="s">
        <v>15</v>
      </c>
      <c r="C90" s="4" t="s">
        <v>16</v>
      </c>
      <c r="D90" s="4">
        <v>87</v>
      </c>
      <c r="E90" s="4" t="s">
        <v>205</v>
      </c>
      <c r="F90" s="4" t="s">
        <v>169</v>
      </c>
      <c r="G90" s="4" t="s">
        <v>170</v>
      </c>
      <c r="H90" s="4" t="s">
        <v>40</v>
      </c>
      <c r="I90" s="4" t="s">
        <v>41</v>
      </c>
      <c r="J90" s="4">
        <v>1</v>
      </c>
      <c r="K90" s="4" t="s">
        <v>22</v>
      </c>
      <c r="L90" s="5">
        <v>46087</v>
      </c>
      <c r="M90" s="4">
        <v>1000000</v>
      </c>
      <c r="N90" s="4">
        <v>638880</v>
      </c>
      <c r="O90" s="4">
        <v>26193880</v>
      </c>
      <c r="P90" s="4" t="s">
        <v>206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s="2" customFormat="1" ht="26" x14ac:dyDescent="0.35">
      <c r="A91" s="4" t="s">
        <v>16</v>
      </c>
      <c r="B91" s="4" t="s">
        <v>15</v>
      </c>
      <c r="C91" s="4" t="s">
        <v>16</v>
      </c>
      <c r="D91" s="4">
        <v>88</v>
      </c>
      <c r="E91" s="4" t="s">
        <v>207</v>
      </c>
      <c r="F91" s="4" t="s">
        <v>169</v>
      </c>
      <c r="G91" s="4" t="s">
        <v>170</v>
      </c>
      <c r="H91" s="4" t="s">
        <v>40</v>
      </c>
      <c r="I91" s="4" t="s">
        <v>41</v>
      </c>
      <c r="J91" s="4">
        <v>1</v>
      </c>
      <c r="K91" s="4" t="s">
        <v>22</v>
      </c>
      <c r="L91" s="5">
        <v>46087</v>
      </c>
      <c r="M91" s="4">
        <v>1000000</v>
      </c>
      <c r="N91" s="4">
        <v>638880</v>
      </c>
      <c r="O91" s="4">
        <v>25103880</v>
      </c>
      <c r="P91" s="4" t="s">
        <v>208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s="2" customFormat="1" ht="26" x14ac:dyDescent="0.35">
      <c r="A92" s="4" t="s">
        <v>16</v>
      </c>
      <c r="B92" s="4" t="s">
        <v>15</v>
      </c>
      <c r="C92" s="4" t="s">
        <v>16</v>
      </c>
      <c r="D92" s="4">
        <v>89</v>
      </c>
      <c r="E92" s="4" t="s">
        <v>209</v>
      </c>
      <c r="F92" s="4" t="s">
        <v>169</v>
      </c>
      <c r="G92" s="4" t="s">
        <v>170</v>
      </c>
      <c r="H92" s="4" t="s">
        <v>40</v>
      </c>
      <c r="I92" s="4" t="s">
        <v>41</v>
      </c>
      <c r="J92" s="4">
        <v>1.42</v>
      </c>
      <c r="K92" s="4" t="s">
        <v>22</v>
      </c>
      <c r="L92" s="5">
        <v>46087</v>
      </c>
      <c r="M92" s="4">
        <v>1500000</v>
      </c>
      <c r="N92" s="4">
        <v>907210</v>
      </c>
      <c r="O92" s="4">
        <v>10007210</v>
      </c>
      <c r="P92" s="4" t="s">
        <v>210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s="2" customFormat="1" ht="26" x14ac:dyDescent="0.35">
      <c r="A93" s="4" t="s">
        <v>16</v>
      </c>
      <c r="B93" s="4" t="s">
        <v>15</v>
      </c>
      <c r="C93" s="4" t="s">
        <v>16</v>
      </c>
      <c r="D93" s="4">
        <v>90</v>
      </c>
      <c r="E93" s="4" t="s">
        <v>211</v>
      </c>
      <c r="F93" s="4" t="s">
        <v>169</v>
      </c>
      <c r="G93" s="4" t="s">
        <v>170</v>
      </c>
      <c r="H93" s="4" t="s">
        <v>40</v>
      </c>
      <c r="I93" s="4" t="s">
        <v>41</v>
      </c>
      <c r="J93" s="4">
        <v>1.2172000000000001</v>
      </c>
      <c r="K93" s="4" t="s">
        <v>22</v>
      </c>
      <c r="L93" s="5">
        <v>46087</v>
      </c>
      <c r="M93" s="4">
        <v>1500000</v>
      </c>
      <c r="N93" s="4">
        <v>777645</v>
      </c>
      <c r="O93" s="4">
        <v>62607645</v>
      </c>
      <c r="P93" s="4" t="s">
        <v>212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s="2" customFormat="1" ht="39" x14ac:dyDescent="0.35">
      <c r="A94" s="4" t="s">
        <v>16</v>
      </c>
      <c r="B94" s="4" t="s">
        <v>15</v>
      </c>
      <c r="C94" s="4" t="s">
        <v>16</v>
      </c>
      <c r="D94" s="4">
        <v>91</v>
      </c>
      <c r="E94" s="4" t="s">
        <v>213</v>
      </c>
      <c r="F94" s="4" t="s">
        <v>169</v>
      </c>
      <c r="G94" s="4" t="s">
        <v>170</v>
      </c>
      <c r="H94" s="4" t="s">
        <v>40</v>
      </c>
      <c r="I94" s="4" t="s">
        <v>41</v>
      </c>
      <c r="J94" s="4">
        <v>1</v>
      </c>
      <c r="K94" s="4" t="s">
        <v>22</v>
      </c>
      <c r="L94" s="5">
        <v>46087</v>
      </c>
      <c r="M94" s="4">
        <v>1000000</v>
      </c>
      <c r="N94" s="4">
        <v>638880</v>
      </c>
      <c r="O94" s="4">
        <v>25243880</v>
      </c>
      <c r="P94" s="4" t="s">
        <v>214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s="2" customFormat="1" ht="26" x14ac:dyDescent="0.35">
      <c r="A95" s="4" t="s">
        <v>16</v>
      </c>
      <c r="B95" s="4" t="s">
        <v>15</v>
      </c>
      <c r="C95" s="4" t="s">
        <v>16</v>
      </c>
      <c r="D95" s="4">
        <v>92</v>
      </c>
      <c r="E95" s="4" t="s">
        <v>215</v>
      </c>
      <c r="F95" s="4" t="s">
        <v>169</v>
      </c>
      <c r="G95" s="4" t="s">
        <v>170</v>
      </c>
      <c r="H95" s="4" t="s">
        <v>40</v>
      </c>
      <c r="I95" s="4" t="s">
        <v>41</v>
      </c>
      <c r="J95" s="4">
        <v>1.6033999999999999</v>
      </c>
      <c r="K95" s="4" t="s">
        <v>22</v>
      </c>
      <c r="L95" s="5">
        <v>46087</v>
      </c>
      <c r="M95" s="4">
        <v>1500000</v>
      </c>
      <c r="N95" s="4">
        <v>1024385</v>
      </c>
      <c r="O95" s="4">
        <v>35729385</v>
      </c>
      <c r="P95" s="4" t="s">
        <v>216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s="2" customFormat="1" ht="39" x14ac:dyDescent="0.35">
      <c r="A96" s="4" t="s">
        <v>16</v>
      </c>
      <c r="B96" s="4" t="s">
        <v>24</v>
      </c>
      <c r="C96" s="4" t="s">
        <v>16</v>
      </c>
      <c r="D96" s="4">
        <v>93</v>
      </c>
      <c r="E96" s="4" t="s">
        <v>217</v>
      </c>
      <c r="F96" s="4" t="s">
        <v>26</v>
      </c>
      <c r="G96" s="4" t="s">
        <v>27</v>
      </c>
      <c r="H96" s="4" t="s">
        <v>28</v>
      </c>
      <c r="I96" s="4" t="s">
        <v>29</v>
      </c>
      <c r="J96" s="4">
        <v>1.08</v>
      </c>
      <c r="K96" s="4" t="s">
        <v>30</v>
      </c>
      <c r="L96" s="5">
        <v>46090</v>
      </c>
      <c r="M96" s="4">
        <v>1500000</v>
      </c>
      <c r="N96" s="4">
        <v>345750</v>
      </c>
      <c r="O96" s="4">
        <v>350750</v>
      </c>
      <c r="P96" s="4" t="s">
        <v>218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s="2" customFormat="1" ht="39" x14ac:dyDescent="0.35">
      <c r="A97" s="4" t="s">
        <v>16</v>
      </c>
      <c r="B97" s="4" t="s">
        <v>24</v>
      </c>
      <c r="C97" s="4" t="s">
        <v>16</v>
      </c>
      <c r="D97" s="4">
        <v>94</v>
      </c>
      <c r="E97" s="4" t="s">
        <v>219</v>
      </c>
      <c r="F97" s="4" t="s">
        <v>26</v>
      </c>
      <c r="G97" s="4" t="s">
        <v>27</v>
      </c>
      <c r="H97" s="4" t="s">
        <v>28</v>
      </c>
      <c r="I97" s="4" t="s">
        <v>29</v>
      </c>
      <c r="J97" s="4">
        <v>1.08</v>
      </c>
      <c r="K97" s="4" t="s">
        <v>30</v>
      </c>
      <c r="L97" s="5">
        <v>46090</v>
      </c>
      <c r="M97" s="4">
        <v>1500000</v>
      </c>
      <c r="N97" s="4">
        <v>345750</v>
      </c>
      <c r="O97" s="4">
        <v>350750</v>
      </c>
      <c r="P97" s="4" t="s">
        <v>218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s="2" customFormat="1" ht="39" x14ac:dyDescent="0.35">
      <c r="A98" s="4" t="s">
        <v>16</v>
      </c>
      <c r="B98" s="4" t="s">
        <v>24</v>
      </c>
      <c r="C98" s="4" t="s">
        <v>16</v>
      </c>
      <c r="D98" s="4">
        <v>95</v>
      </c>
      <c r="E98" s="4" t="s">
        <v>220</v>
      </c>
      <c r="F98" s="4" t="s">
        <v>26</v>
      </c>
      <c r="G98" s="4" t="s">
        <v>27</v>
      </c>
      <c r="H98" s="4" t="s">
        <v>28</v>
      </c>
      <c r="I98" s="4" t="s">
        <v>29</v>
      </c>
      <c r="J98" s="4">
        <v>1.08</v>
      </c>
      <c r="K98" s="4" t="s">
        <v>30</v>
      </c>
      <c r="L98" s="5">
        <v>46090</v>
      </c>
      <c r="M98" s="4">
        <v>1500000</v>
      </c>
      <c r="N98" s="4">
        <v>345750</v>
      </c>
      <c r="O98" s="4">
        <v>350750</v>
      </c>
      <c r="P98" s="4" t="s">
        <v>218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s="2" customFormat="1" ht="26" x14ac:dyDescent="0.35">
      <c r="A99" s="4" t="s">
        <v>16</v>
      </c>
      <c r="B99" s="4" t="s">
        <v>15</v>
      </c>
      <c r="C99" s="4" t="s">
        <v>16</v>
      </c>
      <c r="D99" s="4">
        <v>96</v>
      </c>
      <c r="E99" s="4" t="s">
        <v>221</v>
      </c>
      <c r="F99" s="4" t="s">
        <v>18</v>
      </c>
      <c r="G99" s="4" t="s">
        <v>19</v>
      </c>
      <c r="H99" s="4" t="s">
        <v>20</v>
      </c>
      <c r="I99" s="4" t="s">
        <v>21</v>
      </c>
      <c r="J99" s="4">
        <v>1</v>
      </c>
      <c r="K99" s="4" t="s">
        <v>22</v>
      </c>
      <c r="L99" s="5">
        <v>46091</v>
      </c>
      <c r="M99" s="4">
        <v>1000000</v>
      </c>
      <c r="N99" s="4">
        <v>638880</v>
      </c>
      <c r="O99" s="4">
        <v>643880</v>
      </c>
      <c r="P99" s="4" t="s">
        <v>222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s="2" customFormat="1" ht="26" x14ac:dyDescent="0.35">
      <c r="A100" s="4" t="s">
        <v>16</v>
      </c>
      <c r="B100" s="4" t="s">
        <v>15</v>
      </c>
      <c r="C100" s="4" t="s">
        <v>16</v>
      </c>
      <c r="D100" s="4">
        <v>97</v>
      </c>
      <c r="E100" s="4" t="s">
        <v>223</v>
      </c>
      <c r="F100" s="4" t="s">
        <v>18</v>
      </c>
      <c r="G100" s="4" t="s">
        <v>19</v>
      </c>
      <c r="H100" s="4" t="s">
        <v>20</v>
      </c>
      <c r="I100" s="4" t="s">
        <v>21</v>
      </c>
      <c r="J100" s="4">
        <v>1</v>
      </c>
      <c r="K100" s="4" t="s">
        <v>22</v>
      </c>
      <c r="L100" s="5">
        <v>46091</v>
      </c>
      <c r="M100" s="4">
        <v>1000000</v>
      </c>
      <c r="N100" s="4">
        <v>638880</v>
      </c>
      <c r="O100" s="4">
        <v>643880</v>
      </c>
      <c r="P100" s="4" t="s">
        <v>222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s="2" customFormat="1" ht="26" x14ac:dyDescent="0.35">
      <c r="A101" s="4" t="s">
        <v>16</v>
      </c>
      <c r="B101" s="4" t="s">
        <v>15</v>
      </c>
      <c r="C101" s="4" t="s">
        <v>16</v>
      </c>
      <c r="D101" s="4">
        <v>98</v>
      </c>
      <c r="E101" s="4" t="s">
        <v>224</v>
      </c>
      <c r="F101" s="4" t="s">
        <v>18</v>
      </c>
      <c r="G101" s="4" t="s">
        <v>19</v>
      </c>
      <c r="H101" s="4" t="s">
        <v>20</v>
      </c>
      <c r="I101" s="4" t="s">
        <v>21</v>
      </c>
      <c r="J101" s="4">
        <v>1</v>
      </c>
      <c r="K101" s="4" t="s">
        <v>22</v>
      </c>
      <c r="L101" s="5">
        <v>46092</v>
      </c>
      <c r="M101" s="4">
        <v>1000000</v>
      </c>
      <c r="N101" s="4">
        <v>638880</v>
      </c>
      <c r="O101" s="4">
        <v>643880</v>
      </c>
      <c r="P101" s="4" t="s">
        <v>225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x14ac:dyDescent="0.35">
      <c r="J102" s="6">
        <f>SUM(J4:J101)</f>
        <v>222.23699999999997</v>
      </c>
      <c r="K102" s="6"/>
      <c r="L102" s="6"/>
      <c r="M102" s="6">
        <f t="shared" ref="M102:O102" si="0">SUM(M4:M101)</f>
        <v>180500000</v>
      </c>
      <c r="N102" s="6">
        <f t="shared" si="0"/>
        <v>85926638</v>
      </c>
      <c r="O102" s="6">
        <f t="shared" si="0"/>
        <v>2022237705</v>
      </c>
    </row>
    <row r="103" spans="1:28" x14ac:dyDescent="0.35">
      <c r="J103" s="6"/>
      <c r="K103" s="6"/>
      <c r="L103" s="6"/>
      <c r="M103" s="6"/>
      <c r="N103" s="6"/>
      <c r="O103" s="6"/>
    </row>
    <row r="104" spans="1:28" x14ac:dyDescent="0.35">
      <c r="J104" s="6"/>
      <c r="K104" s="6"/>
      <c r="L104" s="6"/>
      <c r="M104" s="6">
        <f>M102/10000000</f>
        <v>18.05</v>
      </c>
      <c r="N104" s="6">
        <f t="shared" ref="N104:O104" si="1">N102/10000000</f>
        <v>8.5926638000000004</v>
      </c>
      <c r="O104" s="6">
        <f t="shared" si="1"/>
        <v>202.2237705</v>
      </c>
      <c r="U104" s="1" t="s">
        <v>281</v>
      </c>
      <c r="V104" s="1">
        <v>98</v>
      </c>
    </row>
    <row r="105" spans="1:28" x14ac:dyDescent="0.35">
      <c r="J105" s="6"/>
      <c r="K105" s="6"/>
      <c r="L105" s="6"/>
      <c r="M105" s="6" t="s">
        <v>227</v>
      </c>
      <c r="N105" s="6" t="s">
        <v>227</v>
      </c>
      <c r="O105" s="6" t="s">
        <v>227</v>
      </c>
      <c r="U105" s="1" t="s">
        <v>277</v>
      </c>
      <c r="V105" s="1">
        <v>20</v>
      </c>
    </row>
    <row r="106" spans="1:28" x14ac:dyDescent="0.35">
      <c r="U106" s="1" t="s">
        <v>278</v>
      </c>
      <c r="V106" s="1">
        <v>10</v>
      </c>
    </row>
    <row r="107" spans="1:28" x14ac:dyDescent="0.35">
      <c r="U107" s="1" t="s">
        <v>245</v>
      </c>
      <c r="V107" s="1">
        <v>7</v>
      </c>
    </row>
    <row r="108" spans="1:28" x14ac:dyDescent="0.35">
      <c r="U108" s="1" t="s">
        <v>247</v>
      </c>
      <c r="V108" s="1">
        <v>3</v>
      </c>
    </row>
    <row r="109" spans="1:28" x14ac:dyDescent="0.35">
      <c r="U109" s="1" t="s">
        <v>279</v>
      </c>
      <c r="V109" s="1">
        <v>7</v>
      </c>
    </row>
    <row r="110" spans="1:28" ht="26" x14ac:dyDescent="0.35">
      <c r="U110" s="1" t="s">
        <v>265</v>
      </c>
      <c r="V110" s="1">
        <v>2</v>
      </c>
    </row>
    <row r="111" spans="1:28" x14ac:dyDescent="0.35">
      <c r="U111" s="1" t="s">
        <v>280</v>
      </c>
      <c r="V111" s="1">
        <v>5</v>
      </c>
    </row>
    <row r="112" spans="1:28" x14ac:dyDescent="0.35">
      <c r="U112" s="1" t="s">
        <v>282</v>
      </c>
      <c r="V112" s="1">
        <f>98-20-7</f>
        <v>71</v>
      </c>
    </row>
  </sheetData>
  <autoFilter ref="A3:AB102" xr:uid="{00000000-0001-0000-0000-000000000000}"/>
  <mergeCells count="1">
    <mergeCell ref="A1:P1"/>
  </mergeCells>
  <hyperlinks>
    <hyperlink ref="U33" r:id="rId1" location="/trackYourProposal/proposal-details?proposalId=SIA%2FRJ%2FMIN%2F560064%2F2025&amp;proposal=700236978" xr:uid="{4218B2FF-3D5F-4660-AE7C-88728CCAA394}"/>
    <hyperlink ref="U7" r:id="rId2" location="/trackYourProposal/proposal-details?proposalId=SIA%2FRJ%2FMIN%2F571587%2F2026&amp;proposal=1221097817" xr:uid="{C02D3F96-E6C9-4882-91A2-3D90BAF799BD}"/>
    <hyperlink ref="U8" r:id="rId3" location="/trackYourProposal/proposal-details?proposalId=SIA%2FRJ%2FMIN%2F560063%2F2025&amp;proposal=699747578" xr:uid="{E0748D5E-8FCD-421C-92CF-C905604D930C}"/>
    <hyperlink ref="U26" r:id="rId4" location="/trackYourProposal/proposal-details?proposalId=SIA%2FRJ%2FMIN%2F560030%2F2026&amp;proposal=691185178" xr:uid="{59987103-10E3-48AD-AEC7-8BFAB2474060}"/>
    <hyperlink ref="U28" r:id="rId5" location="/trackYourProposal/proposal-details?proposalId=SIA%2FRJ%2FMIN%2F566768%2F2026&amp;proposal=1217537540" xr:uid="{5A544CE5-AB0D-4171-B72A-5EC4A4EA2969}"/>
    <hyperlink ref="U27" r:id="rId6" location="/trackYourProposal/proposal-details?proposalId=SIA%2FRJ%2FMIN%2F560076%2F2026&amp;proposal=704199378" xr:uid="{D4C9C027-C006-4861-8585-B1879929C26B}"/>
    <hyperlink ref="U29" r:id="rId7" location="/trackYourProposal/proposal-details?proposalId=SIA%2FRJ%2FMIN%2F560748%2F2026&amp;proposal=849593978" xr:uid="{9F3DEF46-1F0E-4B55-8746-4CA1E80C289B}"/>
    <hyperlink ref="U30" r:id="rId8" location="/trackYourProposal/proposal-details?proposalId=SIA%2FRJ%2FMIN%2F570848%2F2026&amp;proposal=1220518028" xr:uid="{29FB919B-243D-4B1F-95A8-DE9B916E867D}"/>
    <hyperlink ref="U31" r:id="rId9" location="/trackYourProposal/proposal-details?proposalId=SIA%2FRJ%2FMIN%2F560039%2F2025&amp;proposal=693675978" xr:uid="{ABC28D3D-9942-433F-B908-7E4BAF399BB6}"/>
    <hyperlink ref="U32" r:id="rId10" location="/trackYourProposal/proposal-details?proposalId=SIA%2FRJ%2FMIN%2F566910%2F2026&amp;proposal=1217649160" xr:uid="{0F7A2F0D-0243-443C-AE28-F444B1F73D8E}"/>
    <hyperlink ref="Z70" r:id="rId11" location="/trackYourProposal/proposal-details?proposalId=SIA%2FRJ%2FMIN%2F544318%2F2025&amp;proposal=131833821" xr:uid="{354BCC3D-9C54-4288-A318-031177AF1596}"/>
    <hyperlink ref="Z84" r:id="rId12" location="/trackYourProposal/proposal-details?proposalId=SIA%2FRJ%2FMIN%2F544216%2F2025&amp;proposal=131775736" xr:uid="{04191DC9-FB06-47BD-971A-818CD1D3AE8F}"/>
    <hyperlink ref="Z83" r:id="rId13" location="/trackYourProposal/proposal-details?proposalId=SIA%2FRJ%2FMIN%2F544300%2F2025&amp;proposal=131823957" xr:uid="{EB24E509-3B8E-4837-A232-A4D7F2AAB8C8}"/>
    <hyperlink ref="Z71" r:id="rId14" location="/trackYourProposal/proposal-details?proposalId=SIA%2FRJ%2FMIN%2F544314%2F2025&amp;proposal=131832415" xr:uid="{0D8501C8-0DFE-4A8B-B414-EA627759DB18}"/>
    <hyperlink ref="Z85" r:id="rId15" location="/trackYourProposal/proposal-details?proposalId=SIA%2FRJ%2FMIN%2F544158%2F2025&amp;proposal=131733827" xr:uid="{B43C3FF2-5CEB-45DF-9208-A7355DC0F0DA}"/>
    <hyperlink ref="U5" r:id="rId16" location="/trackYourProposal/proposal-details?proposalId=SIA%2FRJ%2FMIN%2F570529%2F2026&amp;proposal=1220341558" xr:uid="{596360D1-C00A-4A93-AB54-35F4840143D5}"/>
    <hyperlink ref="Z11" r:id="rId17" location="/trackYourProposal/proposal-details?proposalId=SIA%2FRJ%2FMIN%2F564888%2F2026&amp;proposal=1216359276" xr:uid="{14548615-04E9-41F4-BD71-ACE396C80436}"/>
    <hyperlink ref="U13" r:id="rId18" location="/trackYourProposal/proposal-details?proposalId=SIA%2FRJ%2FMIN%2F569871%2F2026&amp;proposal=1219878913" xr:uid="{ACBA6775-78F2-4E2B-A207-EDA2042B4206}"/>
    <hyperlink ref="U14" r:id="rId19" location="/trackYourProposal/proposal-details?proposalId=SIA%2FRJ%2FMIN%2F568532%2F2026&amp;proposal=1218835704" xr:uid="{0056BA30-71F2-49CB-8522-DFD7E1C44229}"/>
    <hyperlink ref="Z15" r:id="rId20" location="/trackYourProposal/proposal-details?proposalId=SIA%2FRJ%2FMIN%2F565083%2F2026&amp;proposal=1216464952" xr:uid="{937C6F35-2F9F-4C43-AB94-566C837C7EBB}"/>
    <hyperlink ref="U39" r:id="rId21" location="/trackYourProposal/proposal-details?proposalId=SIA/RJ/MIN/565184/2026&amp;proposal=1216535701" xr:uid="{4DC1D32D-B1D2-4F58-A59B-662ABC94A3AD}"/>
    <hyperlink ref="U44" r:id="rId22" location="/trackYourProposal/proposal-details?proposalId=SIA%2FRJ%2FMIN%2F565400%2F2026&amp;proposal=1216677560" xr:uid="{B5D2A1F9-8B9C-4BD7-B4ED-CE3F916453FB}"/>
    <hyperlink ref="U54" r:id="rId23" location="/trackYourProposal/proposal-details?proposalId=SIA%2FRJ%2FMIN%2F568508%2F2026&amp;proposal=1218817282" xr:uid="{20339F8C-8AA0-4F45-9610-CB8930BA6766}"/>
    <hyperlink ref="U55" r:id="rId24" location="/trackYourProposal/proposal-details?proposalId=SIA%2FRJ%2FMIN%2F568368%2F2026&amp;proposal=1218696824" xr:uid="{4FAEE4E3-8FE4-4003-8EFD-DC8BFFD0773B}"/>
    <hyperlink ref="U64" r:id="rId25" location="/trackYourProposal/proposal-details?proposalId=SIA%2FRJ%2FMIN%2F568756%2F2026&amp;proposal=1219024377" xr:uid="{8898B050-6849-43F0-B2C7-60A4EAE16402}"/>
    <hyperlink ref="U68" r:id="rId26" location="/trackYourProposal/proposal-details?proposalId=SIA%2FRJ%2FMIN%2F565732%2F2026&amp;proposal=1216902691" xr:uid="{F595CD1C-9446-4E36-8382-4FCB4A610C4A}"/>
    <hyperlink ref="U69" r:id="rId27" location="/trackYourProposal/proposal-details?proposalId=SIA%2FRJ%2FMIN%2F568349%2F2026&amp;proposal=1218686389" xr:uid="{260B60D6-19F9-4F06-BC88-E10AA161E522}"/>
  </hyperlinks>
  <pageMargins left="0.70866141732283472" right="0.70866141732283472" top="0.74803149606299213" bottom="0.74803149606299213" header="0.31496062992125984" footer="0.31496062992125984"/>
  <pageSetup paperSize="9" scale="67" fitToHeight="0" orientation="landscape" r:id="rId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E09B-8586-4F14-9A36-A781CF6F9D76}">
  <dimension ref="A1:B9"/>
  <sheetViews>
    <sheetView workbookViewId="0">
      <selection activeCell="A9" sqref="A9:B9"/>
    </sheetView>
  </sheetViews>
  <sheetFormatPr defaultRowHeight="14.5" x14ac:dyDescent="0.35"/>
  <cols>
    <col min="1" max="1" width="22.08984375" customWidth="1"/>
    <col min="2" max="2" width="23.7265625" customWidth="1"/>
  </cols>
  <sheetData>
    <row r="1" spans="1:2" x14ac:dyDescent="0.35">
      <c r="A1" s="25" t="s">
        <v>281</v>
      </c>
      <c r="B1" s="25">
        <v>98</v>
      </c>
    </row>
    <row r="2" spans="1:2" x14ac:dyDescent="0.35">
      <c r="A2" s="26" t="s">
        <v>277</v>
      </c>
      <c r="B2" s="26">
        <v>20</v>
      </c>
    </row>
    <row r="3" spans="1:2" x14ac:dyDescent="0.35">
      <c r="A3" s="1" t="s">
        <v>278</v>
      </c>
      <c r="B3" s="1">
        <v>10</v>
      </c>
    </row>
    <row r="4" spans="1:2" x14ac:dyDescent="0.35">
      <c r="A4" s="1" t="s">
        <v>245</v>
      </c>
      <c r="B4" s="1">
        <v>7</v>
      </c>
    </row>
    <row r="5" spans="1:2" x14ac:dyDescent="0.35">
      <c r="A5" s="1" t="s">
        <v>247</v>
      </c>
      <c r="B5" s="1">
        <v>3</v>
      </c>
    </row>
    <row r="6" spans="1:2" x14ac:dyDescent="0.35">
      <c r="A6" s="26" t="s">
        <v>279</v>
      </c>
      <c r="B6" s="26">
        <v>7</v>
      </c>
    </row>
    <row r="7" spans="1:2" ht="26" x14ac:dyDescent="0.35">
      <c r="A7" s="1" t="s">
        <v>265</v>
      </c>
      <c r="B7" s="1">
        <v>2</v>
      </c>
    </row>
    <row r="8" spans="1:2" x14ac:dyDescent="0.35">
      <c r="A8" s="1" t="s">
        <v>280</v>
      </c>
      <c r="B8" s="1">
        <v>5</v>
      </c>
    </row>
    <row r="9" spans="1:2" x14ac:dyDescent="0.35">
      <c r="A9" s="27" t="s">
        <v>282</v>
      </c>
      <c r="B9" s="27">
        <f>98-20-7</f>
        <v>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QL 2025-26</vt:lpstr>
      <vt:lpstr>Summary</vt:lpstr>
      <vt:lpstr>'QL 2025-26'!Print_Titles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Verma, Vikas - Ext</cp:lastModifiedBy>
  <cp:lastPrinted>2026-04-02T06:23:51Z</cp:lastPrinted>
  <dcterms:created xsi:type="dcterms:W3CDTF">2026-04-02T06:16:44Z</dcterms:created>
  <dcterms:modified xsi:type="dcterms:W3CDTF">2026-04-13T07:53:27Z</dcterms:modified>
</cp:coreProperties>
</file>